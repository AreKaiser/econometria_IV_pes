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p\OneDrive\Documentos\basicdir\github\econometria_IV_pes\data\"/>
    </mc:Choice>
  </mc:AlternateContent>
  <xr:revisionPtr revIDLastSave="0" documentId="13_ncr:1_{6ED62333-1D3D-4307-8059-716173B8F4AB}" xr6:coauthVersionLast="47" xr6:coauthVersionMax="47" xr10:uidLastSave="{00000000-0000-0000-0000-000000000000}"/>
  <bookViews>
    <workbookView xWindow="-108" yWindow="-108" windowWidth="23256" windowHeight="12456" xr2:uid="{0830BE85-1A9E-3147-BF8F-1829823258A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4" i="1" l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A25" i="1" l="1"/>
  <c r="A37" i="1" s="1"/>
  <c r="A49" i="1" s="1"/>
  <c r="A61" i="1" s="1"/>
  <c r="A73" i="1" s="1"/>
  <c r="A85" i="1" s="1"/>
  <c r="A97" i="1" s="1"/>
  <c r="A109" i="1" s="1"/>
  <c r="A121" i="1" s="1"/>
  <c r="A133" i="1" s="1"/>
  <c r="A145" i="1" s="1"/>
  <c r="A24" i="1"/>
  <c r="A36" i="1" s="1"/>
  <c r="A48" i="1" s="1"/>
  <c r="A60" i="1" s="1"/>
  <c r="A72" i="1" s="1"/>
  <c r="A84" i="1" s="1"/>
  <c r="A96" i="1" s="1"/>
  <c r="A108" i="1" s="1"/>
  <c r="A120" i="1" s="1"/>
  <c r="A132" i="1" s="1"/>
  <c r="A144" i="1" s="1"/>
  <c r="A23" i="1"/>
  <c r="A35" i="1" s="1"/>
  <c r="A47" i="1" s="1"/>
  <c r="A59" i="1" s="1"/>
  <c r="A71" i="1" s="1"/>
  <c r="A83" i="1" s="1"/>
  <c r="A95" i="1" s="1"/>
  <c r="A107" i="1" s="1"/>
  <c r="A119" i="1" s="1"/>
  <c r="A131" i="1" s="1"/>
  <c r="A143" i="1" s="1"/>
  <c r="A155" i="1" s="1"/>
  <c r="A22" i="1"/>
  <c r="A34" i="1" s="1"/>
  <c r="A46" i="1" s="1"/>
  <c r="A58" i="1" s="1"/>
  <c r="A70" i="1" s="1"/>
  <c r="A82" i="1" s="1"/>
  <c r="A94" i="1" s="1"/>
  <c r="A106" i="1" s="1"/>
  <c r="A118" i="1" s="1"/>
  <c r="A130" i="1" s="1"/>
  <c r="A142" i="1" s="1"/>
  <c r="A154" i="1" s="1"/>
  <c r="A21" i="1"/>
  <c r="A33" i="1" s="1"/>
  <c r="A45" i="1" s="1"/>
  <c r="A57" i="1" s="1"/>
  <c r="A69" i="1" s="1"/>
  <c r="A81" i="1" s="1"/>
  <c r="A93" i="1" s="1"/>
  <c r="A105" i="1" s="1"/>
  <c r="A117" i="1" s="1"/>
  <c r="A129" i="1" s="1"/>
  <c r="A141" i="1" s="1"/>
  <c r="A153" i="1" s="1"/>
  <c r="A20" i="1"/>
  <c r="A32" i="1" s="1"/>
  <c r="A44" i="1" s="1"/>
  <c r="A56" i="1" s="1"/>
  <c r="A68" i="1" s="1"/>
  <c r="A80" i="1" s="1"/>
  <c r="A92" i="1" s="1"/>
  <c r="A104" i="1" s="1"/>
  <c r="A116" i="1" s="1"/>
  <c r="A128" i="1" s="1"/>
  <c r="A140" i="1" s="1"/>
  <c r="A152" i="1" s="1"/>
  <c r="A19" i="1"/>
  <c r="A31" i="1" s="1"/>
  <c r="A43" i="1" s="1"/>
  <c r="A55" i="1" s="1"/>
  <c r="A67" i="1" s="1"/>
  <c r="A79" i="1" s="1"/>
  <c r="A91" i="1" s="1"/>
  <c r="A103" i="1" s="1"/>
  <c r="A115" i="1" s="1"/>
  <c r="A127" i="1" s="1"/>
  <c r="A139" i="1" s="1"/>
  <c r="A151" i="1" s="1"/>
  <c r="A18" i="1"/>
  <c r="A30" i="1" s="1"/>
  <c r="A42" i="1" s="1"/>
  <c r="A54" i="1" s="1"/>
  <c r="A66" i="1" s="1"/>
  <c r="A78" i="1" s="1"/>
  <c r="A90" i="1" s="1"/>
  <c r="A102" i="1" s="1"/>
  <c r="A114" i="1" s="1"/>
  <c r="A126" i="1" s="1"/>
  <c r="A138" i="1" s="1"/>
  <c r="A150" i="1" s="1"/>
  <c r="A17" i="1"/>
  <c r="A29" i="1" s="1"/>
  <c r="A41" i="1" s="1"/>
  <c r="A53" i="1" s="1"/>
  <c r="A65" i="1" s="1"/>
  <c r="A77" i="1" s="1"/>
  <c r="A89" i="1" s="1"/>
  <c r="A101" i="1" s="1"/>
  <c r="A113" i="1" s="1"/>
  <c r="A125" i="1" s="1"/>
  <c r="A137" i="1" s="1"/>
  <c r="A149" i="1" s="1"/>
  <c r="A16" i="1"/>
  <c r="A28" i="1" s="1"/>
  <c r="A40" i="1" s="1"/>
  <c r="A52" i="1" s="1"/>
  <c r="A64" i="1" s="1"/>
  <c r="A76" i="1" s="1"/>
  <c r="A88" i="1" s="1"/>
  <c r="A100" i="1" s="1"/>
  <c r="A112" i="1" s="1"/>
  <c r="A124" i="1" s="1"/>
  <c r="A136" i="1" s="1"/>
  <c r="A148" i="1" s="1"/>
  <c r="A15" i="1"/>
  <c r="A27" i="1" s="1"/>
  <c r="A39" i="1" s="1"/>
  <c r="A51" i="1" s="1"/>
  <c r="A63" i="1" s="1"/>
  <c r="A75" i="1" s="1"/>
  <c r="A87" i="1" s="1"/>
  <c r="A99" i="1" s="1"/>
  <c r="A111" i="1" s="1"/>
  <c r="A123" i="1" s="1"/>
  <c r="A135" i="1" s="1"/>
  <c r="A147" i="1" s="1"/>
  <c r="A14" i="1"/>
  <c r="A26" i="1" s="1"/>
  <c r="A38" i="1" s="1"/>
  <c r="A50" i="1" s="1"/>
  <c r="A62" i="1" s="1"/>
  <c r="A74" i="1" s="1"/>
  <c r="A86" i="1" s="1"/>
  <c r="A98" i="1" s="1"/>
  <c r="A110" i="1" s="1"/>
  <c r="A122" i="1" s="1"/>
  <c r="A134" i="1" s="1"/>
  <c r="A146" i="1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1" authorId="0" shapeId="0" xr:uid="{B5891B3F-E92B-5442-95C3-E232EB9C1FB5}">
      <text>
        <r>
          <rPr>
            <b/>
            <sz val="10"/>
            <color rgb="FF000000"/>
            <rFont val="Tahoma"/>
            <family val="2"/>
          </rPr>
          <t xml:space="preserve">base 2024 = 100
</t>
        </r>
      </text>
    </comment>
    <comment ref="J1" authorId="0" shapeId="0" xr:uid="{D944C7D3-52AE-DD4E-8B32-F4015516F331}">
      <text>
        <r>
          <rPr>
            <b/>
            <sz val="10"/>
            <color rgb="FF000000"/>
            <rFont val="Tahoma"/>
            <family val="2"/>
          </rPr>
          <t>base 2023= 100</t>
        </r>
      </text>
    </comment>
  </commentList>
</comments>
</file>

<file path=xl/sharedStrings.xml><?xml version="1.0" encoding="utf-8"?>
<sst xmlns="http://schemas.openxmlformats.org/spreadsheetml/2006/main" count="167" uniqueCount="36">
  <si>
    <t>Enero</t>
  </si>
  <si>
    <t>febrero</t>
  </si>
  <si>
    <t>marzo</t>
  </si>
  <si>
    <t>abril</t>
  </si>
  <si>
    <t>mayo</t>
  </si>
  <si>
    <t>junio</t>
  </si>
  <si>
    <t>julio</t>
  </si>
  <si>
    <t>agosto</t>
  </si>
  <si>
    <t>octubre</t>
  </si>
  <si>
    <t>noviembre</t>
  </si>
  <si>
    <t>diciembre</t>
  </si>
  <si>
    <t>t</t>
  </si>
  <si>
    <t>mes</t>
  </si>
  <si>
    <t>año</t>
  </si>
  <si>
    <t>septiembre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</si>
  <si>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</si>
  <si>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</si>
  <si>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</si>
  <si>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</si>
  <si>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</si>
  <si>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</si>
  <si>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</si>
  <si>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</si>
  <si>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</si>
  <si>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</si>
  <si>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</si>
  <si>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tc</t>
  </si>
  <si>
    <t>inflacion</t>
  </si>
  <si>
    <t>imae</t>
  </si>
  <si>
    <t>tasa_lider</t>
  </si>
  <si>
    <t>var_imae</t>
  </si>
  <si>
    <t>ipc = 2010</t>
  </si>
  <si>
    <t>sc = 2010</t>
  </si>
  <si>
    <t>TCR</t>
  </si>
  <si>
    <t>ip_usa = 2013</t>
  </si>
  <si>
    <t>ipc =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</si>
</sst>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3" fillId="0" borderId="0" xfId="0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32A4-4C0D-A241-8319-2A201A20008A}">
  <dimension ref="A1:M156"/>
  <sheetViews>
    <sheetView tabSelected="1" topLeftCell="B1" workbookViewId="0">
      <selection activeCell="M2" sqref="M2"/>
    </sheetView>
  </sheetViews>
  <sheetFormatPr defaultColWidth="11.19921875" defaultRowHeight="15.6"/>
  <sheetData>
    <row r="1" spans="1:13">
      <c r="A1" t="s">
        <v>13</v>
      </c>
      <c r="B1" t="s">
        <v>12</v>
      </c>
      <c r="C1" t="s">
        <v>11</v>
      </c>
      <c r="D1" t="s">
        <v>26</v>
      </c>
      <c r="E1" t="s">
        <v>27</v>
      </c>
      <c r="F1" t="s">
        <v>28</v>
      </c>
      <c r="G1" t="s">
        <v>30</v>
      </c>
      <c r="H1" t="s">
        <v>29</v>
      </c>
      <c r="I1" t="s">
        <v>35</v>
      </c>
      <c r="J1" t="s">
        <v>34</v>
      </c>
      <c r="K1" t="s">
        <v>31</v>
      </c>
      <c r="L1" t="s">
        <v>32</v>
      </c>
      <c r="M1" t="s">
        <v>33</v>
      </c>
    </row>
    <row r="2" spans="1:13">
      <c r="A2">
        <v>2013</v>
      </c>
      <c r="B2" t="s">
        <v>0</v>
      </c>
      <c r="C2">
        <v>1</v>
      </c>
      <c r="D2">
        <v>7.8780950000000001</v>
      </c>
      <c r="E2">
        <v>3.86</v>
      </c>
      <c r="F2" s="1">
        <v>99.073850985151978</v>
      </c>
      <c r="G2">
        <v>4.2777730220465884</v>
      </c>
      <c r="H2" s="2">
        <v>5</v>
      </c>
      <c r="I2" s="1">
        <v>62.584020329950377</v>
      </c>
      <c r="J2" s="3">
        <v>75.071883577943964</v>
      </c>
      <c r="K2">
        <f>I2/AVERAGE($I$2:$I$13)*100</f>
        <v>97.810919561445587</v>
      </c>
      <c r="L2">
        <f>J2/AVERAGE($J$2:$J$13)*100</f>
        <v>98.850825527591795</v>
      </c>
      <c r="M2">
        <v>70.290000000000006</v>
      </c>
    </row>
    <row r="3" spans="1:13">
      <c r="A3">
        <v>2013</v>
      </c>
      <c r="B3" t="s">
        <v>1</v>
      </c>
      <c r="C3">
        <f>C2+1</f>
        <v>2</v>
      </c>
      <c r="D3">
        <v>7.8267150000000001</v>
      </c>
      <c r="E3">
        <v>4.18</v>
      </c>
      <c r="F3" s="1">
        <v>98.813626332205487</v>
      </c>
      <c r="G3">
        <v>4.0553665731926571</v>
      </c>
      <c r="H3" s="2">
        <v>5</v>
      </c>
      <c r="I3" s="1">
        <v>63.094216147857573</v>
      </c>
      <c r="J3" s="3">
        <v>75.686724521265148</v>
      </c>
      <c r="K3">
        <f t="shared" ref="K3:K13" si="0">I3/AVERAGE($I$2:$I$13)*100</f>
        <v>98.608291188305188</v>
      </c>
      <c r="L3">
        <f t="shared" ref="L3:L13" si="1">J3/AVERAGE($J$2:$J$13)*100</f>
        <v>99.660416707655358</v>
      </c>
      <c r="M3">
        <v>69.540000000000006</v>
      </c>
    </row>
    <row r="4" spans="1:13">
      <c r="A4">
        <v>2013</v>
      </c>
      <c r="B4" t="s">
        <v>2</v>
      </c>
      <c r="C4">
        <f t="shared" ref="C4:C67" si="2">C3+1</f>
        <v>3</v>
      </c>
      <c r="D4">
        <v>7.8077550000000002</v>
      </c>
      <c r="E4">
        <v>4.34</v>
      </c>
      <c r="F4" s="1">
        <v>101.72143289044453</v>
      </c>
      <c r="G4">
        <v>0.56796102424605976</v>
      </c>
      <c r="H4" s="2">
        <v>5</v>
      </c>
      <c r="I4" s="1">
        <v>63.394664796180706</v>
      </c>
      <c r="J4" s="3">
        <v>75.884608112249225</v>
      </c>
      <c r="K4">
        <f t="shared" si="0"/>
        <v>99.077854479678081</v>
      </c>
      <c r="L4">
        <f t="shared" si="1"/>
        <v>99.920979722659936</v>
      </c>
      <c r="M4">
        <v>68.97</v>
      </c>
    </row>
    <row r="5" spans="1:13">
      <c r="A5">
        <v>2013</v>
      </c>
      <c r="B5" t="s">
        <v>3</v>
      </c>
      <c r="C5">
        <f t="shared" si="2"/>
        <v>4</v>
      </c>
      <c r="D5">
        <v>7.7950400000000002</v>
      </c>
      <c r="E5">
        <v>4.13</v>
      </c>
      <c r="F5" s="1">
        <v>101.20112989559678</v>
      </c>
      <c r="G5">
        <v>6.345526566605983</v>
      </c>
      <c r="H5" s="2">
        <v>5.25</v>
      </c>
      <c r="I5" s="1">
        <v>63.502372802183338</v>
      </c>
      <c r="J5" s="3">
        <v>75.805715477952461</v>
      </c>
      <c r="K5">
        <f t="shared" si="0"/>
        <v>99.246188489792871</v>
      </c>
      <c r="L5">
        <f t="shared" si="1"/>
        <v>99.817097927551046</v>
      </c>
      <c r="M5">
        <v>68.83</v>
      </c>
    </row>
    <row r="6" spans="1:13">
      <c r="A6">
        <v>2013</v>
      </c>
      <c r="B6" t="s">
        <v>4</v>
      </c>
      <c r="C6">
        <f t="shared" si="2"/>
        <v>5</v>
      </c>
      <c r="D6">
        <v>7.7862449999999992</v>
      </c>
      <c r="E6">
        <v>4.2699999999999996</v>
      </c>
      <c r="F6" s="1">
        <v>99.505404364605383</v>
      </c>
      <c r="G6">
        <v>4.0957649703635468</v>
      </c>
      <c r="H6" s="2">
        <v>5.25</v>
      </c>
      <c r="I6" s="1">
        <v>63.67243807481907</v>
      </c>
      <c r="J6" s="3">
        <v>75.940680563071737</v>
      </c>
      <c r="K6">
        <f t="shared" si="0"/>
        <v>99.51197903207941</v>
      </c>
      <c r="L6">
        <f t="shared" si="1"/>
        <v>99.994813064638166</v>
      </c>
      <c r="M6">
        <v>68.5</v>
      </c>
    </row>
    <row r="7" spans="1:13">
      <c r="A7">
        <v>2013</v>
      </c>
      <c r="B7" t="s">
        <v>5</v>
      </c>
      <c r="C7">
        <f t="shared" si="2"/>
        <v>6</v>
      </c>
      <c r="D7">
        <v>7.816675</v>
      </c>
      <c r="E7">
        <v>4.79</v>
      </c>
      <c r="F7" s="1">
        <v>96.715333699404084</v>
      </c>
      <c r="G7">
        <v>2.7723323664839086</v>
      </c>
      <c r="H7" s="2">
        <v>5.25</v>
      </c>
      <c r="I7" s="1">
        <v>64.069257044302461</v>
      </c>
      <c r="J7" s="3">
        <v>76.122916028244859</v>
      </c>
      <c r="K7">
        <f t="shared" si="0"/>
        <v>100.13215696408136</v>
      </c>
      <c r="L7">
        <f t="shared" si="1"/>
        <v>100.23477142606738</v>
      </c>
      <c r="M7">
        <v>68.03</v>
      </c>
    </row>
    <row r="8" spans="1:13">
      <c r="A8">
        <v>2013</v>
      </c>
      <c r="B8" t="s">
        <v>6</v>
      </c>
      <c r="C8">
        <f t="shared" si="2"/>
        <v>7</v>
      </c>
      <c r="D8">
        <v>7.8224999999999998</v>
      </c>
      <c r="E8">
        <v>4.74</v>
      </c>
      <c r="F8" s="1">
        <v>98.641787200500175</v>
      </c>
      <c r="G8">
        <v>3.8232782212683816</v>
      </c>
      <c r="H8" s="2">
        <v>5.25</v>
      </c>
      <c r="I8" s="1">
        <v>64.261997686622962</v>
      </c>
      <c r="J8" s="3">
        <v>76.152908269382479</v>
      </c>
      <c r="K8">
        <f t="shared" si="0"/>
        <v>100.43338624533942</v>
      </c>
      <c r="L8">
        <f t="shared" si="1"/>
        <v>100.2742636787534</v>
      </c>
      <c r="M8">
        <v>67.900000000000006</v>
      </c>
    </row>
    <row r="9" spans="1:13">
      <c r="A9">
        <v>2013</v>
      </c>
      <c r="B9" t="s">
        <v>7</v>
      </c>
      <c r="C9">
        <f t="shared" si="2"/>
        <v>8</v>
      </c>
      <c r="D9">
        <v>7.8976899999999999</v>
      </c>
      <c r="E9">
        <v>4.42</v>
      </c>
      <c r="F9" s="1">
        <v>98.671748922706257</v>
      </c>
      <c r="G9">
        <v>3.5752442620772058</v>
      </c>
      <c r="H9" s="2">
        <v>5.25</v>
      </c>
      <c r="I9" s="1">
        <v>64.352699165362012</v>
      </c>
      <c r="J9" s="3">
        <v>76.244515005900652</v>
      </c>
      <c r="K9">
        <f t="shared" si="0"/>
        <v>100.57514120122558</v>
      </c>
      <c r="L9">
        <f t="shared" si="1"/>
        <v>100.39488675489225</v>
      </c>
      <c r="M9">
        <v>68.66</v>
      </c>
    </row>
    <row r="10" spans="1:13">
      <c r="A10">
        <v>2013</v>
      </c>
      <c r="B10" t="s">
        <v>14</v>
      </c>
      <c r="C10">
        <f t="shared" si="2"/>
        <v>9</v>
      </c>
      <c r="D10">
        <v>7.9402699999999999</v>
      </c>
      <c r="E10">
        <v>4.21</v>
      </c>
      <c r="F10" s="1">
        <v>97.719989923269225</v>
      </c>
      <c r="G10">
        <v>3.9014282587662876</v>
      </c>
      <c r="H10" s="2">
        <v>5.25</v>
      </c>
      <c r="I10" s="1">
        <v>64.539770965261326</v>
      </c>
      <c r="J10" s="3">
        <v>76.333187718829265</v>
      </c>
      <c r="K10">
        <f t="shared" si="0"/>
        <v>100.86751079774076</v>
      </c>
      <c r="L10">
        <f t="shared" si="1"/>
        <v>100.51164645848574</v>
      </c>
      <c r="M10">
        <v>68.86</v>
      </c>
    </row>
    <row r="11" spans="1:13">
      <c r="A11">
        <v>2013</v>
      </c>
      <c r="B11" t="s">
        <v>8</v>
      </c>
      <c r="C11">
        <f t="shared" si="2"/>
        <v>10</v>
      </c>
      <c r="D11">
        <v>7.9571649999999998</v>
      </c>
      <c r="E11">
        <v>4.1500000000000004</v>
      </c>
      <c r="F11" s="1">
        <v>99.481566201636184</v>
      </c>
      <c r="G11">
        <v>3.283568044856608</v>
      </c>
      <c r="H11" s="2">
        <v>5</v>
      </c>
      <c r="I11" s="1">
        <v>64.522764437997751</v>
      </c>
      <c r="J11" s="3">
        <v>76.136608138329436</v>
      </c>
      <c r="K11">
        <f t="shared" si="0"/>
        <v>100.8409317435121</v>
      </c>
      <c r="L11">
        <f t="shared" si="1"/>
        <v>100.25280049794578</v>
      </c>
      <c r="M11">
        <v>69.3</v>
      </c>
    </row>
    <row r="12" spans="1:13">
      <c r="A12">
        <v>2013</v>
      </c>
      <c r="B12" t="s">
        <v>9</v>
      </c>
      <c r="C12">
        <f t="shared" si="2"/>
        <v>11</v>
      </c>
      <c r="D12">
        <v>7.8940649999999994</v>
      </c>
      <c r="E12">
        <v>4.63</v>
      </c>
      <c r="F12" s="1">
        <v>102.16005884666606</v>
      </c>
      <c r="G12">
        <v>3.3157001523961043</v>
      </c>
      <c r="H12" s="2">
        <v>5</v>
      </c>
      <c r="I12" s="1">
        <v>64.811875401478503</v>
      </c>
      <c r="J12" s="3">
        <v>75.981104888083294</v>
      </c>
      <c r="K12">
        <f t="shared" si="0"/>
        <v>101.29277566539923</v>
      </c>
      <c r="L12">
        <f t="shared" si="1"/>
        <v>100.04804175304105</v>
      </c>
      <c r="M12">
        <v>68.39</v>
      </c>
    </row>
    <row r="13" spans="1:13">
      <c r="A13">
        <v>2013</v>
      </c>
      <c r="B13" t="s">
        <v>10</v>
      </c>
      <c r="C13">
        <f t="shared" si="2"/>
        <v>12</v>
      </c>
      <c r="D13">
        <v>7.859515</v>
      </c>
      <c r="E13">
        <v>4.3899999999999997</v>
      </c>
      <c r="F13" s="1">
        <v>106.29407073781397</v>
      </c>
      <c r="G13">
        <v>2.127741161740019</v>
      </c>
      <c r="H13" s="2">
        <v>5</v>
      </c>
      <c r="I13" s="1">
        <v>65.010284886220191</v>
      </c>
      <c r="J13" s="3">
        <v>75.974584835662085</v>
      </c>
      <c r="K13">
        <f t="shared" si="0"/>
        <v>101.60286463140018</v>
      </c>
      <c r="L13">
        <f t="shared" si="1"/>
        <v>100.03945648071802</v>
      </c>
      <c r="M13">
        <v>68.099999999999994</v>
      </c>
    </row>
    <row r="14" spans="1:13">
      <c r="A14">
        <f>A2+1</f>
        <v>2014</v>
      </c>
      <c r="B14" t="s">
        <v>0</v>
      </c>
      <c r="C14">
        <f t="shared" si="2"/>
        <v>13</v>
      </c>
      <c r="D14">
        <v>7.8431350000000002</v>
      </c>
      <c r="E14">
        <v>4.1399999999999997</v>
      </c>
      <c r="F14" s="1">
        <v>102.74625989612743</v>
      </c>
      <c r="G14">
        <v>3.7067388361898139</v>
      </c>
      <c r="H14" s="2">
        <v>5</v>
      </c>
      <c r="I14" s="1">
        <v>65.174681316434729</v>
      </c>
      <c r="J14" s="3">
        <v>76.257229108122033</v>
      </c>
      <c r="K14">
        <f t="shared" ref="K14:K77" si="3">I14/AVERAGE($I$2:$I$13)*100</f>
        <v>101.85979548894382</v>
      </c>
      <c r="L14">
        <f t="shared" ref="L14:L77" si="4">J14/AVERAGE($J$2:$J$13)*100</f>
        <v>100.41162803592221</v>
      </c>
      <c r="M14">
        <v>68.22</v>
      </c>
    </row>
    <row r="15" spans="1:13">
      <c r="A15">
        <f t="shared" ref="A15:A78" si="5">A3+1</f>
        <v>2014</v>
      </c>
      <c r="B15" t="s">
        <v>15</v>
      </c>
      <c r="C15">
        <f t="shared" si="2"/>
        <v>14</v>
      </c>
      <c r="D15">
        <v>7.7563549999999992</v>
      </c>
      <c r="E15">
        <v>3.5</v>
      </c>
      <c r="F15" s="1">
        <v>102.5738285814445</v>
      </c>
      <c r="G15">
        <v>3.8053478946288806</v>
      </c>
      <c r="H15" s="2">
        <v>5</v>
      </c>
      <c r="I15" s="1">
        <v>65.30506469212213</v>
      </c>
      <c r="J15" s="3">
        <v>76.539221375339864</v>
      </c>
      <c r="K15">
        <f t="shared" si="3"/>
        <v>102.06356823803017</v>
      </c>
      <c r="L15">
        <f t="shared" si="4"/>
        <v>100.7829410638941</v>
      </c>
      <c r="M15">
        <v>67.27</v>
      </c>
    </row>
    <row r="16" spans="1:13">
      <c r="A16">
        <f t="shared" si="5"/>
        <v>2014</v>
      </c>
      <c r="B16" t="s">
        <v>16</v>
      </c>
      <c r="C16">
        <f t="shared" si="2"/>
        <v>15</v>
      </c>
      <c r="D16">
        <v>7.7280549999999995</v>
      </c>
      <c r="E16">
        <v>3.25</v>
      </c>
      <c r="F16" s="1">
        <v>106.7658796806197</v>
      </c>
      <c r="G16">
        <v>4.9590795635056679</v>
      </c>
      <c r="H16" s="2">
        <v>4.75</v>
      </c>
      <c r="I16" s="1">
        <v>65.452454595073092</v>
      </c>
      <c r="J16" s="3">
        <v>77.032137338384203</v>
      </c>
      <c r="K16">
        <f t="shared" si="3"/>
        <v>102.29392004134516</v>
      </c>
      <c r="L16">
        <f t="shared" si="4"/>
        <v>101.43198765151664</v>
      </c>
      <c r="M16">
        <v>67.040000000000006</v>
      </c>
    </row>
    <row r="17" spans="1:13">
      <c r="A17">
        <f t="shared" si="5"/>
        <v>2014</v>
      </c>
      <c r="B17" t="s">
        <v>17</v>
      </c>
      <c r="C17">
        <f t="shared" si="2"/>
        <v>16</v>
      </c>
      <c r="D17">
        <v>7.7474800000000004</v>
      </c>
      <c r="E17">
        <v>3.27</v>
      </c>
      <c r="F17" s="1">
        <v>104.7987426515309</v>
      </c>
      <c r="G17">
        <v>3.5549136256142191</v>
      </c>
      <c r="H17" s="2">
        <v>4.75</v>
      </c>
      <c r="I17" s="1">
        <v>65.577169128339307</v>
      </c>
      <c r="J17" s="3">
        <v>77.286093380190778</v>
      </c>
      <c r="K17">
        <f t="shared" si="3"/>
        <v>102.48883310568864</v>
      </c>
      <c r="L17">
        <f t="shared" si="4"/>
        <v>101.76638400849941</v>
      </c>
      <c r="M17">
        <v>67.41</v>
      </c>
    </row>
    <row r="18" spans="1:13">
      <c r="A18">
        <f t="shared" si="5"/>
        <v>2014</v>
      </c>
      <c r="B18" t="s">
        <v>18</v>
      </c>
      <c r="C18">
        <f t="shared" si="2"/>
        <v>17</v>
      </c>
      <c r="D18">
        <v>7.73637</v>
      </c>
      <c r="E18">
        <v>3.22</v>
      </c>
      <c r="F18" s="1">
        <v>104.39419895252571</v>
      </c>
      <c r="G18">
        <v>4.9130945390733984</v>
      </c>
      <c r="H18" s="2">
        <v>4.75</v>
      </c>
      <c r="I18" s="1">
        <v>65.724559031290269</v>
      </c>
      <c r="J18" s="3">
        <v>77.556023550429344</v>
      </c>
      <c r="K18">
        <f t="shared" si="3"/>
        <v>102.71918490900363</v>
      </c>
      <c r="L18">
        <f t="shared" si="4"/>
        <v>102.12181428267367</v>
      </c>
      <c r="M18">
        <v>67.34</v>
      </c>
    </row>
    <row r="19" spans="1:13">
      <c r="A19">
        <f t="shared" si="5"/>
        <v>2014</v>
      </c>
      <c r="B19" t="s">
        <v>19</v>
      </c>
      <c r="C19">
        <f t="shared" si="2"/>
        <v>18</v>
      </c>
      <c r="D19">
        <v>7.8054749999999995</v>
      </c>
      <c r="E19">
        <v>3.13</v>
      </c>
      <c r="F19" s="1">
        <v>101.04939322267927</v>
      </c>
      <c r="G19">
        <v>4.4812537552169971</v>
      </c>
      <c r="H19" s="2">
        <v>4.5</v>
      </c>
      <c r="I19" s="1">
        <v>66.076027261404121</v>
      </c>
      <c r="J19" s="3">
        <v>77.700442711559404</v>
      </c>
      <c r="K19">
        <f t="shared" si="3"/>
        <v>103.26848536306245</v>
      </c>
      <c r="L19">
        <f t="shared" si="4"/>
        <v>102.31197806462922</v>
      </c>
      <c r="M19">
        <v>67.66</v>
      </c>
    </row>
    <row r="20" spans="1:13">
      <c r="A20">
        <f t="shared" si="5"/>
        <v>2014</v>
      </c>
      <c r="B20" t="s">
        <v>20</v>
      </c>
      <c r="C20">
        <f t="shared" si="2"/>
        <v>19</v>
      </c>
      <c r="D20">
        <v>7.7738499999999995</v>
      </c>
      <c r="E20">
        <v>3.41</v>
      </c>
      <c r="F20" s="1">
        <v>103.77997480872206</v>
      </c>
      <c r="G20">
        <v>5.2089360442932389</v>
      </c>
      <c r="H20" s="2">
        <v>4.5</v>
      </c>
      <c r="I20" s="1">
        <v>66.455839703623937</v>
      </c>
      <c r="J20" s="3">
        <v>77.670124467800733</v>
      </c>
      <c r="K20">
        <f t="shared" si="3"/>
        <v>103.86208424083574</v>
      </c>
      <c r="L20">
        <f t="shared" si="4"/>
        <v>102.27205654832704</v>
      </c>
      <c r="M20">
        <v>67.14</v>
      </c>
    </row>
    <row r="21" spans="1:13">
      <c r="A21">
        <f t="shared" si="5"/>
        <v>2014</v>
      </c>
      <c r="B21" t="s">
        <v>21</v>
      </c>
      <c r="C21">
        <f t="shared" si="2"/>
        <v>20</v>
      </c>
      <c r="D21">
        <v>7.8025300000000009</v>
      </c>
      <c r="E21">
        <v>3.7</v>
      </c>
      <c r="F21" s="1">
        <v>102.19838170845361</v>
      </c>
      <c r="G21">
        <v>3.5741058856774828</v>
      </c>
      <c r="H21" s="2">
        <v>4.5</v>
      </c>
      <c r="I21" s="1">
        <v>66.733612982262301</v>
      </c>
      <c r="J21" s="3">
        <v>77.540375424618418</v>
      </c>
      <c r="K21">
        <f t="shared" si="3"/>
        <v>104.29620879323708</v>
      </c>
      <c r="L21">
        <f t="shared" si="4"/>
        <v>102.10120962909835</v>
      </c>
      <c r="M21">
        <v>66.94</v>
      </c>
    </row>
    <row r="22" spans="1:13">
      <c r="A22">
        <f t="shared" si="5"/>
        <v>2014</v>
      </c>
      <c r="B22" t="s">
        <v>22</v>
      </c>
      <c r="C22">
        <f t="shared" si="2"/>
        <v>21</v>
      </c>
      <c r="D22">
        <v>7.7178800000000001</v>
      </c>
      <c r="E22">
        <v>3.45</v>
      </c>
      <c r="F22" s="1">
        <v>101.76566868957076</v>
      </c>
      <c r="G22">
        <v>4.1400728443364017</v>
      </c>
      <c r="H22" s="2">
        <v>4.5</v>
      </c>
      <c r="I22" s="1">
        <v>66.767626036789451</v>
      </c>
      <c r="J22" s="3">
        <v>77.598729893788359</v>
      </c>
      <c r="K22">
        <f t="shared" si="3"/>
        <v>104.34936690169438</v>
      </c>
      <c r="L22">
        <f t="shared" si="4"/>
        <v>102.17804781638966</v>
      </c>
      <c r="M22">
        <v>65.91</v>
      </c>
    </row>
    <row r="23" spans="1:13">
      <c r="A23">
        <f t="shared" si="5"/>
        <v>2014</v>
      </c>
      <c r="B23" t="s">
        <v>23</v>
      </c>
      <c r="C23">
        <f t="shared" si="2"/>
        <v>22</v>
      </c>
      <c r="D23">
        <v>7.6385199999999998</v>
      </c>
      <c r="E23">
        <v>3.64</v>
      </c>
      <c r="F23" s="1">
        <v>103.88668108966766</v>
      </c>
      <c r="G23">
        <v>4.428071507341258</v>
      </c>
      <c r="H23" s="2">
        <v>4.5</v>
      </c>
      <c r="I23" s="1">
        <v>66.869665200370889</v>
      </c>
      <c r="J23" s="3">
        <v>77.403780326393829</v>
      </c>
      <c r="K23">
        <f t="shared" si="3"/>
        <v>104.50884122706631</v>
      </c>
      <c r="L23">
        <f t="shared" si="4"/>
        <v>101.92134817393045</v>
      </c>
      <c r="M23">
        <v>64.75</v>
      </c>
    </row>
    <row r="24" spans="1:13">
      <c r="A24">
        <f t="shared" si="5"/>
        <v>2014</v>
      </c>
      <c r="B24" t="s">
        <v>24</v>
      </c>
      <c r="C24">
        <f t="shared" si="2"/>
        <v>23</v>
      </c>
      <c r="D24">
        <v>7.61707</v>
      </c>
      <c r="E24">
        <v>3.38</v>
      </c>
      <c r="F24" s="1">
        <v>107.09363580410978</v>
      </c>
      <c r="G24">
        <v>4.8292620551918475</v>
      </c>
      <c r="H24" s="2">
        <v>4</v>
      </c>
      <c r="I24" s="1">
        <v>67.000048576058276</v>
      </c>
      <c r="J24" s="3">
        <v>76.98584496619354</v>
      </c>
      <c r="K24">
        <f t="shared" si="3"/>
        <v>104.71261397615264</v>
      </c>
      <c r="L24">
        <f t="shared" si="4"/>
        <v>101.37103221802299</v>
      </c>
      <c r="M24">
        <v>64.03</v>
      </c>
    </row>
    <row r="25" spans="1:13">
      <c r="A25">
        <f t="shared" si="5"/>
        <v>2014</v>
      </c>
      <c r="B25" t="s">
        <v>25</v>
      </c>
      <c r="C25">
        <f t="shared" si="2"/>
        <v>24</v>
      </c>
      <c r="D25">
        <v>7.6200550000000007</v>
      </c>
      <c r="E25">
        <v>2.95</v>
      </c>
      <c r="F25" s="1">
        <v>112.27508906765867</v>
      </c>
      <c r="G25">
        <v>5.6268597940872382</v>
      </c>
      <c r="H25" s="2">
        <v>4</v>
      </c>
      <c r="I25" s="1">
        <v>66.926353624582802</v>
      </c>
      <c r="J25" s="3">
        <v>76.549327456592763</v>
      </c>
      <c r="K25">
        <f t="shared" si="3"/>
        <v>104.59743807449516</v>
      </c>
      <c r="L25">
        <f t="shared" si="4"/>
        <v>100.79624823599485</v>
      </c>
      <c r="M25">
        <v>63.34</v>
      </c>
    </row>
    <row r="26" spans="1:13">
      <c r="A26">
        <f t="shared" si="5"/>
        <v>2015</v>
      </c>
      <c r="B26" t="s">
        <v>0</v>
      </c>
      <c r="C26">
        <f t="shared" si="2"/>
        <v>25</v>
      </c>
      <c r="D26">
        <v>7.6405000000000003</v>
      </c>
      <c r="E26">
        <v>2.3199999999999998</v>
      </c>
      <c r="F26" s="1">
        <v>107.76240684437798</v>
      </c>
      <c r="G26">
        <v>4.8820725477712585</v>
      </c>
      <c r="H26" s="2">
        <v>4</v>
      </c>
      <c r="I26" s="1">
        <v>66.688262242892776</v>
      </c>
      <c r="J26" s="3">
        <v>76.189094560320271</v>
      </c>
      <c r="K26">
        <f t="shared" si="3"/>
        <v>104.22533131529401</v>
      </c>
      <c r="L26">
        <f t="shared" si="4"/>
        <v>100.32191194014635</v>
      </c>
      <c r="M26">
        <v>63.28</v>
      </c>
    </row>
    <row r="27" spans="1:13">
      <c r="A27">
        <f t="shared" si="5"/>
        <v>2015</v>
      </c>
      <c r="B27" t="s">
        <v>15</v>
      </c>
      <c r="C27">
        <f t="shared" si="2"/>
        <v>26</v>
      </c>
      <c r="D27">
        <v>7.6416500000000003</v>
      </c>
      <c r="E27">
        <v>2.44</v>
      </c>
      <c r="F27" s="1">
        <v>107.15466489965655</v>
      </c>
      <c r="G27">
        <v>4.4658919156701131</v>
      </c>
      <c r="H27" s="2">
        <v>3.5</v>
      </c>
      <c r="I27" s="1">
        <v>66.898009412476853</v>
      </c>
      <c r="J27" s="3">
        <v>76.51998722069726</v>
      </c>
      <c r="K27">
        <f t="shared" si="3"/>
        <v>104.55313965078075</v>
      </c>
      <c r="L27">
        <f t="shared" si="4"/>
        <v>100.7576145105411</v>
      </c>
      <c r="M27">
        <v>62.96</v>
      </c>
    </row>
    <row r="28" spans="1:13">
      <c r="A28">
        <f t="shared" si="5"/>
        <v>2015</v>
      </c>
      <c r="B28" t="s">
        <v>16</v>
      </c>
      <c r="C28">
        <f t="shared" si="2"/>
        <v>27</v>
      </c>
      <c r="D28">
        <v>7.626595</v>
      </c>
      <c r="E28">
        <v>2.4300000000000002</v>
      </c>
      <c r="F28" s="1">
        <v>111.73454852168709</v>
      </c>
      <c r="G28">
        <v>4.6537984381627382</v>
      </c>
      <c r="H28" s="2">
        <v>3.5</v>
      </c>
      <c r="I28" s="1">
        <v>67.039730473006628</v>
      </c>
      <c r="J28" s="3">
        <v>76.975412882319588</v>
      </c>
      <c r="K28">
        <f t="shared" si="3"/>
        <v>104.77463176935287</v>
      </c>
      <c r="L28">
        <f t="shared" si="4"/>
        <v>101.35729578230612</v>
      </c>
      <c r="M28">
        <v>62.38</v>
      </c>
    </row>
    <row r="29" spans="1:13">
      <c r="A29">
        <f t="shared" si="5"/>
        <v>2015</v>
      </c>
      <c r="B29" t="s">
        <v>17</v>
      </c>
      <c r="C29">
        <f t="shared" si="2"/>
        <v>28</v>
      </c>
      <c r="D29">
        <v>7.7050649999999994</v>
      </c>
      <c r="E29">
        <v>2.58</v>
      </c>
      <c r="F29" s="1">
        <v>107.65564081881139</v>
      </c>
      <c r="G29">
        <v>2.7260805759664777</v>
      </c>
      <c r="H29" s="2">
        <v>3.5</v>
      </c>
      <c r="I29" s="1">
        <v>67.266484169854266</v>
      </c>
      <c r="J29" s="3">
        <v>77.131894140428884</v>
      </c>
      <c r="K29">
        <f t="shared" si="3"/>
        <v>105.12901915906822</v>
      </c>
      <c r="L29">
        <f t="shared" si="4"/>
        <v>101.56334231805928</v>
      </c>
      <c r="M29">
        <v>62.97</v>
      </c>
    </row>
    <row r="30" spans="1:13">
      <c r="A30">
        <f t="shared" si="5"/>
        <v>2015</v>
      </c>
      <c r="B30" t="s">
        <v>18</v>
      </c>
      <c r="C30">
        <f t="shared" si="2"/>
        <v>29</v>
      </c>
      <c r="D30">
        <v>7.6797300000000002</v>
      </c>
      <c r="E30">
        <v>2.5499999999999998</v>
      </c>
      <c r="F30" s="1">
        <v>106.67025841185485</v>
      </c>
      <c r="G30">
        <v>2.1802547288707075</v>
      </c>
      <c r="H30" s="2">
        <v>3.5</v>
      </c>
      <c r="I30" s="1">
        <v>67.402536387962854</v>
      </c>
      <c r="J30" s="3">
        <v>77.525053301428542</v>
      </c>
      <c r="K30">
        <f t="shared" si="3"/>
        <v>105.34165159289745</v>
      </c>
      <c r="L30">
        <f t="shared" si="4"/>
        <v>102.08103423913917</v>
      </c>
      <c r="M30">
        <v>62.92</v>
      </c>
    </row>
    <row r="31" spans="1:13">
      <c r="A31">
        <f t="shared" si="5"/>
        <v>2015</v>
      </c>
      <c r="B31" t="s">
        <v>19</v>
      </c>
      <c r="C31">
        <f t="shared" si="2"/>
        <v>30</v>
      </c>
      <c r="D31">
        <v>7.6472499999999997</v>
      </c>
      <c r="E31">
        <v>2.39</v>
      </c>
      <c r="F31" s="1">
        <v>105.61789365879984</v>
      </c>
      <c r="G31">
        <v>4.5210567727538091</v>
      </c>
      <c r="H31" s="2">
        <v>3.25</v>
      </c>
      <c r="I31" s="1">
        <v>67.651965454495269</v>
      </c>
      <c r="J31" s="3">
        <v>77.796613484772422</v>
      </c>
      <c r="K31">
        <f t="shared" si="3"/>
        <v>105.73147772158438</v>
      </c>
      <c r="L31">
        <f t="shared" si="4"/>
        <v>102.43861083139419</v>
      </c>
      <c r="M31">
        <v>62.31</v>
      </c>
    </row>
    <row r="32" spans="1:13">
      <c r="A32">
        <f t="shared" si="5"/>
        <v>2015</v>
      </c>
      <c r="B32" t="s">
        <v>20</v>
      </c>
      <c r="C32">
        <f t="shared" si="2"/>
        <v>31</v>
      </c>
      <c r="D32">
        <v>7.6476050000000004</v>
      </c>
      <c r="E32">
        <v>2.3199999999999998</v>
      </c>
      <c r="F32" s="1">
        <v>108.70129007378456</v>
      </c>
      <c r="G32">
        <v>4.7420663515606236</v>
      </c>
      <c r="H32" s="2">
        <v>3.25</v>
      </c>
      <c r="I32" s="1">
        <v>67.997764842187934</v>
      </c>
      <c r="J32" s="3">
        <v>77.801829526709398</v>
      </c>
      <c r="K32">
        <f t="shared" si="3"/>
        <v>106.27191849090035</v>
      </c>
      <c r="L32">
        <f t="shared" si="4"/>
        <v>102.44547904925263</v>
      </c>
      <c r="M32">
        <v>61.6</v>
      </c>
    </row>
    <row r="33" spans="1:13">
      <c r="A33">
        <f t="shared" si="5"/>
        <v>2015</v>
      </c>
      <c r="B33" t="s">
        <v>21</v>
      </c>
      <c r="C33">
        <f t="shared" si="2"/>
        <v>32</v>
      </c>
      <c r="D33">
        <v>7.64785</v>
      </c>
      <c r="E33">
        <v>1.96</v>
      </c>
      <c r="F33" s="1">
        <v>107.52214398112345</v>
      </c>
      <c r="G33">
        <v>5.2092432225171734</v>
      </c>
      <c r="H33" s="2">
        <v>3.25</v>
      </c>
      <c r="I33" s="1">
        <v>68.043115581557458</v>
      </c>
      <c r="J33" s="3">
        <v>77.691640640790752</v>
      </c>
      <c r="K33">
        <f t="shared" si="3"/>
        <v>106.34279596884342</v>
      </c>
      <c r="L33">
        <f t="shared" si="4"/>
        <v>102.3003879469931</v>
      </c>
      <c r="M33">
        <v>61.01</v>
      </c>
    </row>
    <row r="34" spans="1:13">
      <c r="A34">
        <f t="shared" si="5"/>
        <v>2015</v>
      </c>
      <c r="B34" t="s">
        <v>22</v>
      </c>
      <c r="C34">
        <f t="shared" si="2"/>
        <v>33</v>
      </c>
      <c r="D34">
        <v>7.6878650000000004</v>
      </c>
      <c r="E34">
        <v>1.88</v>
      </c>
      <c r="F34" s="1">
        <v>106.65815010643109</v>
      </c>
      <c r="G34">
        <v>4.807595213455059</v>
      </c>
      <c r="H34" s="2">
        <v>3.25</v>
      </c>
      <c r="I34" s="1">
        <v>68.020440211872696</v>
      </c>
      <c r="J34" s="3">
        <v>77.570693668377103</v>
      </c>
      <c r="K34">
        <f t="shared" si="3"/>
        <v>106.30735722987188</v>
      </c>
      <c r="L34">
        <f t="shared" si="4"/>
        <v>102.14113114540054</v>
      </c>
      <c r="M34">
        <v>61.08</v>
      </c>
    </row>
    <row r="35" spans="1:13">
      <c r="A35">
        <f t="shared" si="5"/>
        <v>2015</v>
      </c>
      <c r="B35" t="s">
        <v>23</v>
      </c>
      <c r="C35">
        <f t="shared" si="2"/>
        <v>34</v>
      </c>
      <c r="D35">
        <v>7.6784949999999998</v>
      </c>
      <c r="E35">
        <v>2.23</v>
      </c>
      <c r="F35" s="1">
        <v>108.4607704513443</v>
      </c>
      <c r="G35">
        <v>4.4029603349524677</v>
      </c>
      <c r="H35" s="2">
        <v>3</v>
      </c>
      <c r="I35" s="1">
        <v>68.36057075714416</v>
      </c>
      <c r="J35" s="3">
        <v>77.535811387923559</v>
      </c>
      <c r="K35">
        <f t="shared" si="3"/>
        <v>106.83893831444496</v>
      </c>
      <c r="L35">
        <f t="shared" si="4"/>
        <v>102.09519993847221</v>
      </c>
      <c r="M35">
        <v>61.07</v>
      </c>
    </row>
    <row r="36" spans="1:13">
      <c r="A36">
        <f t="shared" si="5"/>
        <v>2015</v>
      </c>
      <c r="B36" t="s">
        <v>24</v>
      </c>
      <c r="C36">
        <f t="shared" si="2"/>
        <v>35</v>
      </c>
      <c r="D36">
        <v>7.6410199999999993</v>
      </c>
      <c r="E36">
        <v>2.5099999999999998</v>
      </c>
      <c r="F36" s="1">
        <v>111.44266296804467</v>
      </c>
      <c r="G36">
        <v>4.0609576201987636</v>
      </c>
      <c r="H36" s="2">
        <v>3</v>
      </c>
      <c r="I36" s="1">
        <v>68.683694775152063</v>
      </c>
      <c r="J36" s="3">
        <v>77.37215807215091</v>
      </c>
      <c r="K36">
        <f t="shared" si="3"/>
        <v>107.34394034478937</v>
      </c>
      <c r="L36">
        <f t="shared" si="4"/>
        <v>101.87970960316368</v>
      </c>
      <c r="M36">
        <v>60.26</v>
      </c>
    </row>
    <row r="37" spans="1:13">
      <c r="A37">
        <f t="shared" si="5"/>
        <v>2015</v>
      </c>
      <c r="B37" t="s">
        <v>25</v>
      </c>
      <c r="C37">
        <f t="shared" si="2"/>
        <v>36</v>
      </c>
      <c r="D37">
        <v>7.6141399999999999</v>
      </c>
      <c r="E37">
        <v>3.07</v>
      </c>
      <c r="F37" s="1">
        <v>115.2356139066996</v>
      </c>
      <c r="G37">
        <v>2.6368492455676176</v>
      </c>
      <c r="H37" s="2">
        <v>3</v>
      </c>
      <c r="I37" s="1">
        <v>68.978474581054002</v>
      </c>
      <c r="J37" s="3">
        <v>77.10776994647037</v>
      </c>
      <c r="K37">
        <f t="shared" si="3"/>
        <v>107.80464395141938</v>
      </c>
      <c r="L37">
        <f t="shared" si="4"/>
        <v>101.531576810464</v>
      </c>
      <c r="M37">
        <v>59.51</v>
      </c>
    </row>
    <row r="38" spans="1:13">
      <c r="A38">
        <f t="shared" si="5"/>
        <v>2016</v>
      </c>
      <c r="B38" t="s">
        <v>0</v>
      </c>
      <c r="C38">
        <f t="shared" si="2"/>
        <v>37</v>
      </c>
      <c r="D38">
        <v>7.6495100000000003</v>
      </c>
      <c r="E38">
        <v>4.38</v>
      </c>
      <c r="F38" s="1">
        <v>109.7423273651634</v>
      </c>
      <c r="G38">
        <v>1.8373016887463223</v>
      </c>
      <c r="H38" s="2">
        <v>3</v>
      </c>
      <c r="I38" s="1">
        <v>69.607716089806217</v>
      </c>
      <c r="J38" s="3">
        <v>77.235236971305255</v>
      </c>
      <c r="K38">
        <f t="shared" si="3"/>
        <v>108.78806895787956</v>
      </c>
      <c r="L38">
        <f t="shared" si="4"/>
        <v>101.69941888437964</v>
      </c>
      <c r="M38">
        <v>58.93</v>
      </c>
    </row>
    <row r="39" spans="1:13">
      <c r="A39">
        <f t="shared" si="5"/>
        <v>2016</v>
      </c>
      <c r="B39" t="s">
        <v>15</v>
      </c>
      <c r="C39">
        <f t="shared" si="2"/>
        <v>38</v>
      </c>
      <c r="D39">
        <v>7.66289</v>
      </c>
      <c r="E39">
        <v>4.2699999999999996</v>
      </c>
      <c r="F39" s="1">
        <v>109.43255893657653</v>
      </c>
      <c r="G39">
        <v>2.1258001590999953</v>
      </c>
      <c r="H39" s="2">
        <v>3</v>
      </c>
      <c r="I39" s="1">
        <v>69.75510599275718</v>
      </c>
      <c r="J39" s="3">
        <v>77.298807482412158</v>
      </c>
      <c r="K39">
        <f t="shared" si="3"/>
        <v>109.01842076119455</v>
      </c>
      <c r="L39">
        <f t="shared" si="4"/>
        <v>101.78312528952935</v>
      </c>
      <c r="M39">
        <v>58.99</v>
      </c>
    </row>
    <row r="40" spans="1:13">
      <c r="A40">
        <f t="shared" si="5"/>
        <v>2016</v>
      </c>
      <c r="B40" t="s">
        <v>16</v>
      </c>
      <c r="C40">
        <f t="shared" si="2"/>
        <v>39</v>
      </c>
      <c r="D40">
        <v>7.7162699999999997</v>
      </c>
      <c r="E40">
        <v>4.26</v>
      </c>
      <c r="F40" s="1">
        <v>112.95121605980954</v>
      </c>
      <c r="G40">
        <v>1.0888910853622917</v>
      </c>
      <c r="H40" s="2">
        <v>3</v>
      </c>
      <c r="I40" s="1">
        <v>69.89682705328697</v>
      </c>
      <c r="J40" s="3">
        <v>77.631656158515526</v>
      </c>
      <c r="K40">
        <f t="shared" si="3"/>
        <v>109.23991287976666</v>
      </c>
      <c r="L40">
        <f t="shared" si="4"/>
        <v>102.22140344162105</v>
      </c>
      <c r="M40">
        <v>59.86</v>
      </c>
    </row>
    <row r="41" spans="1:13">
      <c r="A41">
        <f t="shared" si="5"/>
        <v>2016</v>
      </c>
      <c r="B41" t="s">
        <v>17</v>
      </c>
      <c r="C41">
        <f t="shared" si="2"/>
        <v>40</v>
      </c>
      <c r="D41">
        <v>7.7304050000000002</v>
      </c>
      <c r="E41">
        <v>4.09</v>
      </c>
      <c r="F41" s="1">
        <v>112.28170499049693</v>
      </c>
      <c r="G41">
        <v>4.2970940830414861</v>
      </c>
      <c r="H41" s="2">
        <v>3</v>
      </c>
      <c r="I41" s="1">
        <v>70.015872744131983</v>
      </c>
      <c r="J41" s="3">
        <v>77.99971311769346</v>
      </c>
      <c r="K41">
        <f t="shared" si="3"/>
        <v>109.42596625936724</v>
      </c>
      <c r="L41">
        <f t="shared" si="4"/>
        <v>102.70604206425718</v>
      </c>
      <c r="M41">
        <v>60.35</v>
      </c>
    </row>
    <row r="42" spans="1:13">
      <c r="A42">
        <f t="shared" si="5"/>
        <v>2016</v>
      </c>
      <c r="B42" t="s">
        <v>18</v>
      </c>
      <c r="C42">
        <f t="shared" si="2"/>
        <v>41</v>
      </c>
      <c r="D42">
        <v>7.6444700000000001</v>
      </c>
      <c r="E42">
        <v>4.3600000000000003</v>
      </c>
      <c r="F42" s="1">
        <v>111.11467775915966</v>
      </c>
      <c r="G42">
        <v>4.1665028410682936</v>
      </c>
      <c r="H42" s="2">
        <v>3</v>
      </c>
      <c r="I42" s="1">
        <v>70.338996762139871</v>
      </c>
      <c r="J42" s="3">
        <v>78.315283654880588</v>
      </c>
      <c r="K42">
        <f t="shared" si="3"/>
        <v>109.93096828971164</v>
      </c>
      <c r="L42">
        <f t="shared" si="4"/>
        <v>103.12156924469278</v>
      </c>
      <c r="M42">
        <v>59.23</v>
      </c>
    </row>
    <row r="43" spans="1:13">
      <c r="A43">
        <f t="shared" si="5"/>
        <v>2016</v>
      </c>
      <c r="B43" t="s">
        <v>19</v>
      </c>
      <c r="C43">
        <f t="shared" si="2"/>
        <v>42</v>
      </c>
      <c r="D43">
        <v>7.6409450000000003</v>
      </c>
      <c r="E43">
        <v>4.43</v>
      </c>
      <c r="F43" s="1">
        <v>108.39295105389535</v>
      </c>
      <c r="G43">
        <v>2.6274500455958361</v>
      </c>
      <c r="H43" s="2">
        <v>3</v>
      </c>
      <c r="I43" s="1">
        <v>70.650783095305385</v>
      </c>
      <c r="J43" s="3">
        <v>78.572499722897774</v>
      </c>
      <c r="K43">
        <f t="shared" si="3"/>
        <v>110.41825095057033</v>
      </c>
      <c r="L43">
        <f t="shared" si="4"/>
        <v>103.46025823783707</v>
      </c>
      <c r="M43">
        <v>58.77</v>
      </c>
    </row>
    <row r="44" spans="1:13">
      <c r="A44">
        <f t="shared" si="5"/>
        <v>2016</v>
      </c>
      <c r="B44" t="s">
        <v>20</v>
      </c>
      <c r="C44">
        <f t="shared" si="2"/>
        <v>43</v>
      </c>
      <c r="D44">
        <v>7.5951699999999995</v>
      </c>
      <c r="E44">
        <v>4.62</v>
      </c>
      <c r="F44" s="1">
        <v>109.34934941997597</v>
      </c>
      <c r="G44">
        <v>0.59618367523653149</v>
      </c>
      <c r="H44" s="2">
        <v>3</v>
      </c>
      <c r="I44" s="1">
        <v>71.138303543527826</v>
      </c>
      <c r="J44" s="3">
        <v>78.445358700683954</v>
      </c>
      <c r="K44">
        <f t="shared" si="3"/>
        <v>111.18018383845838</v>
      </c>
      <c r="L44">
        <f t="shared" si="4"/>
        <v>103.2928454275376</v>
      </c>
      <c r="M44">
        <v>57.98</v>
      </c>
    </row>
    <row r="45" spans="1:13">
      <c r="A45">
        <f t="shared" si="5"/>
        <v>2016</v>
      </c>
      <c r="B45" t="s">
        <v>21</v>
      </c>
      <c r="C45">
        <f t="shared" si="2"/>
        <v>44</v>
      </c>
      <c r="D45">
        <v>7.5344149999999992</v>
      </c>
      <c r="E45">
        <v>4.74</v>
      </c>
      <c r="F45" s="1">
        <v>110.41412449909532</v>
      </c>
      <c r="G45">
        <v>2.6896603907745629</v>
      </c>
      <c r="H45" s="2">
        <v>3</v>
      </c>
      <c r="I45" s="1">
        <v>71.268686919215227</v>
      </c>
      <c r="J45" s="3">
        <v>78.517405279938444</v>
      </c>
      <c r="K45">
        <f t="shared" si="3"/>
        <v>111.38395658754474</v>
      </c>
      <c r="L45">
        <f t="shared" si="4"/>
        <v>103.3877126867073</v>
      </c>
      <c r="M45">
        <v>57.62</v>
      </c>
    </row>
    <row r="46" spans="1:13">
      <c r="A46">
        <f t="shared" si="5"/>
        <v>2016</v>
      </c>
      <c r="B46" t="s">
        <v>22</v>
      </c>
      <c r="C46">
        <f t="shared" si="2"/>
        <v>45</v>
      </c>
      <c r="D46">
        <v>7.5222199999999999</v>
      </c>
      <c r="E46">
        <v>4.5599999999999996</v>
      </c>
      <c r="F46" s="1">
        <v>109.80093914321549</v>
      </c>
      <c r="G46">
        <v>2.9465999866379491</v>
      </c>
      <c r="H46" s="2">
        <v>3</v>
      </c>
      <c r="I46" s="1">
        <v>71.121297016264251</v>
      </c>
      <c r="J46" s="3">
        <v>78.706160797532817</v>
      </c>
      <c r="K46">
        <f t="shared" si="3"/>
        <v>111.15360478422973</v>
      </c>
      <c r="L46">
        <f t="shared" si="4"/>
        <v>103.63625632045958</v>
      </c>
      <c r="M46">
        <v>57.55</v>
      </c>
    </row>
    <row r="47" spans="1:13">
      <c r="A47">
        <f t="shared" si="5"/>
        <v>2016</v>
      </c>
      <c r="B47" t="s">
        <v>23</v>
      </c>
      <c r="C47">
        <f t="shared" si="2"/>
        <v>46</v>
      </c>
      <c r="D47">
        <v>7.4957949999999993</v>
      </c>
      <c r="E47">
        <v>4.76</v>
      </c>
      <c r="F47" s="1">
        <v>110.43027409925232</v>
      </c>
      <c r="G47">
        <v>1.8158672852057123</v>
      </c>
      <c r="H47" s="2">
        <v>3</v>
      </c>
      <c r="I47" s="1">
        <v>71.614486306907892</v>
      </c>
      <c r="J47" s="3">
        <v>78.804287586472199</v>
      </c>
      <c r="K47">
        <f t="shared" si="3"/>
        <v>111.92439735686071</v>
      </c>
      <c r="L47">
        <f t="shared" si="4"/>
        <v>103.7654646689215</v>
      </c>
      <c r="M47">
        <v>56.93</v>
      </c>
    </row>
    <row r="48" spans="1:13">
      <c r="A48">
        <f t="shared" si="5"/>
        <v>2016</v>
      </c>
      <c r="B48" t="s">
        <v>24</v>
      </c>
      <c r="C48">
        <f t="shared" si="2"/>
        <v>47</v>
      </c>
      <c r="D48">
        <v>7.5041399999999996</v>
      </c>
      <c r="E48">
        <v>4.67</v>
      </c>
      <c r="F48" s="1">
        <v>114.99786151630528</v>
      </c>
      <c r="G48">
        <v>3.1901593640848631</v>
      </c>
      <c r="H48" s="2">
        <v>3</v>
      </c>
      <c r="I48" s="1">
        <v>71.892259585546256</v>
      </c>
      <c r="J48" s="3">
        <v>78.681710600953238</v>
      </c>
      <c r="K48">
        <f t="shared" si="3"/>
        <v>112.35852190926204</v>
      </c>
      <c r="L48">
        <f t="shared" si="4"/>
        <v>103.60406154924817</v>
      </c>
      <c r="M48">
        <v>56.22</v>
      </c>
    </row>
    <row r="49" spans="1:13">
      <c r="A49">
        <f t="shared" si="5"/>
        <v>2016</v>
      </c>
      <c r="B49" t="s">
        <v>25</v>
      </c>
      <c r="C49">
        <f t="shared" si="2"/>
        <v>48</v>
      </c>
      <c r="D49">
        <v>7.5030149999999995</v>
      </c>
      <c r="E49">
        <v>4.2300000000000004</v>
      </c>
      <c r="F49" s="1">
        <v>120.64310367720977</v>
      </c>
      <c r="G49">
        <v>4.6925508418676429</v>
      </c>
      <c r="H49" s="2">
        <v>3</v>
      </c>
      <c r="I49" s="1">
        <v>71.897928427967443</v>
      </c>
      <c r="J49" s="3">
        <v>78.70746480801705</v>
      </c>
      <c r="K49">
        <f t="shared" si="3"/>
        <v>112.36738159400493</v>
      </c>
      <c r="L49">
        <f t="shared" si="4"/>
        <v>103.6379733749242</v>
      </c>
      <c r="M49">
        <v>55.96</v>
      </c>
    </row>
    <row r="50" spans="1:13">
      <c r="A50">
        <f t="shared" si="5"/>
        <v>2017</v>
      </c>
      <c r="B50" t="s">
        <v>0</v>
      </c>
      <c r="C50">
        <f t="shared" si="2"/>
        <v>49</v>
      </c>
      <c r="D50">
        <v>7.5168750000000006</v>
      </c>
      <c r="E50">
        <v>3.83</v>
      </c>
      <c r="F50" s="1">
        <v>115.40754015005371</v>
      </c>
      <c r="G50">
        <v>5.1622859847317812</v>
      </c>
      <c r="H50" s="2">
        <v>3</v>
      </c>
      <c r="I50" s="1">
        <v>72.272072027766058</v>
      </c>
      <c r="J50" s="3">
        <v>79.16615049584999</v>
      </c>
      <c r="K50">
        <f t="shared" si="3"/>
        <v>112.9521207870353</v>
      </c>
      <c r="L50">
        <f t="shared" si="4"/>
        <v>104.24194728285075</v>
      </c>
      <c r="M50">
        <v>55.9</v>
      </c>
    </row>
    <row r="51" spans="1:13">
      <c r="A51">
        <f t="shared" si="5"/>
        <v>2017</v>
      </c>
      <c r="B51" t="s">
        <v>15</v>
      </c>
      <c r="C51">
        <f t="shared" si="2"/>
        <v>50</v>
      </c>
      <c r="D51">
        <v>7.4023099999999999</v>
      </c>
      <c r="E51">
        <v>3.96</v>
      </c>
      <c r="F51" s="1">
        <v>114.31035375685646</v>
      </c>
      <c r="G51">
        <v>4.4573524257135659</v>
      </c>
      <c r="H51" s="2">
        <v>3</v>
      </c>
      <c r="I51" s="1">
        <v>72.515832251877285</v>
      </c>
      <c r="J51" s="3">
        <v>79.415216498340655</v>
      </c>
      <c r="K51">
        <f t="shared" si="3"/>
        <v>113.33308723097934</v>
      </c>
      <c r="L51">
        <f t="shared" si="4"/>
        <v>104.56990468559124</v>
      </c>
      <c r="M51">
        <v>55.38</v>
      </c>
    </row>
    <row r="52" spans="1:13">
      <c r="A52">
        <f t="shared" si="5"/>
        <v>2017</v>
      </c>
      <c r="B52" t="s">
        <v>16</v>
      </c>
      <c r="C52">
        <f t="shared" si="2"/>
        <v>51</v>
      </c>
      <c r="D52">
        <v>7.3552949999999999</v>
      </c>
      <c r="E52">
        <v>4</v>
      </c>
      <c r="F52" s="1">
        <v>118.0807464526096</v>
      </c>
      <c r="G52">
        <v>4.5413680097821043</v>
      </c>
      <c r="H52" s="2">
        <v>3</v>
      </c>
      <c r="I52" s="1">
        <v>72.691566366934197</v>
      </c>
      <c r="J52" s="3">
        <v>79.47976501731074</v>
      </c>
      <c r="K52">
        <f t="shared" si="3"/>
        <v>113.60773745800874</v>
      </c>
      <c r="L52">
        <f t="shared" si="4"/>
        <v>104.6548988815894</v>
      </c>
      <c r="M52">
        <v>55.21</v>
      </c>
    </row>
    <row r="53" spans="1:13">
      <c r="A53">
        <f t="shared" si="5"/>
        <v>2017</v>
      </c>
      <c r="B53" t="s">
        <v>17</v>
      </c>
      <c r="C53">
        <f t="shared" si="2"/>
        <v>52</v>
      </c>
      <c r="D53">
        <v>7.3358650000000001</v>
      </c>
      <c r="E53">
        <v>4.09</v>
      </c>
      <c r="F53" s="1">
        <v>114.68673018181772</v>
      </c>
      <c r="G53">
        <v>2.1419564224860466</v>
      </c>
      <c r="H53" s="2">
        <v>3</v>
      </c>
      <c r="I53" s="1">
        <v>72.878638166833511</v>
      </c>
      <c r="J53" s="3">
        <v>79.715464912337907</v>
      </c>
      <c r="K53">
        <f t="shared" si="3"/>
        <v>113.90010705452394</v>
      </c>
      <c r="L53">
        <f t="shared" si="4"/>
        <v>104.96525647606767</v>
      </c>
      <c r="M53">
        <v>55.26</v>
      </c>
    </row>
    <row r="54" spans="1:13">
      <c r="A54">
        <f t="shared" si="5"/>
        <v>2017</v>
      </c>
      <c r="B54" t="s">
        <v>18</v>
      </c>
      <c r="C54">
        <f t="shared" si="2"/>
        <v>53</v>
      </c>
      <c r="D54">
        <v>7.33786</v>
      </c>
      <c r="E54">
        <v>3.93</v>
      </c>
      <c r="F54" s="1">
        <v>113.71876611734109</v>
      </c>
      <c r="G54">
        <v>2.3436042930581777</v>
      </c>
      <c r="H54" s="2">
        <v>3</v>
      </c>
      <c r="I54" s="1">
        <v>73.105391863681163</v>
      </c>
      <c r="J54" s="3">
        <v>79.783599460139669</v>
      </c>
      <c r="K54">
        <f t="shared" si="3"/>
        <v>114.25449444423934</v>
      </c>
      <c r="L54">
        <f t="shared" si="4"/>
        <v>105.05497257184354</v>
      </c>
      <c r="M54">
        <v>55.12</v>
      </c>
    </row>
    <row r="55" spans="1:13">
      <c r="A55">
        <f t="shared" si="5"/>
        <v>2017</v>
      </c>
      <c r="B55" t="s">
        <v>19</v>
      </c>
      <c r="C55">
        <f t="shared" si="2"/>
        <v>54</v>
      </c>
      <c r="D55">
        <v>7.3397350000000001</v>
      </c>
      <c r="E55">
        <v>4.3600000000000003</v>
      </c>
      <c r="F55" s="1">
        <v>111.64310522335563</v>
      </c>
      <c r="G55">
        <v>2.9984921877846489</v>
      </c>
      <c r="H55" s="2">
        <v>3</v>
      </c>
      <c r="I55" s="1">
        <v>73.734633372433379</v>
      </c>
      <c r="J55" s="3">
        <v>79.855972042015225</v>
      </c>
      <c r="K55">
        <f t="shared" si="3"/>
        <v>115.23791945069952</v>
      </c>
      <c r="L55">
        <f t="shared" si="4"/>
        <v>105.15026909462937</v>
      </c>
      <c r="M55">
        <v>55</v>
      </c>
    </row>
    <row r="56" spans="1:13">
      <c r="A56">
        <f t="shared" si="5"/>
        <v>2017</v>
      </c>
      <c r="B56" t="s">
        <v>20</v>
      </c>
      <c r="C56">
        <f t="shared" si="2"/>
        <v>55</v>
      </c>
      <c r="D56">
        <v>7.2994050000000001</v>
      </c>
      <c r="E56">
        <v>5.22</v>
      </c>
      <c r="F56" s="1">
        <v>113.83824576751793</v>
      </c>
      <c r="G56">
        <v>4.1050965290168762</v>
      </c>
      <c r="H56" s="2">
        <v>3</v>
      </c>
      <c r="I56" s="1">
        <v>74.851395329408035</v>
      </c>
      <c r="J56" s="3">
        <v>79.800877599055895</v>
      </c>
      <c r="K56">
        <f t="shared" si="3"/>
        <v>116.98327734504777</v>
      </c>
      <c r="L56">
        <f t="shared" si="4"/>
        <v>105.0777235434996</v>
      </c>
      <c r="M56">
        <v>54.1</v>
      </c>
    </row>
    <row r="57" spans="1:13">
      <c r="A57">
        <f t="shared" si="5"/>
        <v>2017</v>
      </c>
      <c r="B57" t="s">
        <v>21</v>
      </c>
      <c r="C57">
        <f t="shared" si="2"/>
        <v>56</v>
      </c>
      <c r="D57">
        <v>7.27386</v>
      </c>
      <c r="E57">
        <v>4.72</v>
      </c>
      <c r="F57" s="1">
        <v>113.89830430465491</v>
      </c>
      <c r="G57">
        <v>3.1555562491356142</v>
      </c>
      <c r="H57" s="2">
        <v>3</v>
      </c>
      <c r="I57" s="1">
        <v>74.630310474981584</v>
      </c>
      <c r="J57" s="3">
        <v>80.039837520293673</v>
      </c>
      <c r="K57">
        <f t="shared" si="3"/>
        <v>116.63774964007527</v>
      </c>
      <c r="L57">
        <f t="shared" si="4"/>
        <v>105.39237377413937</v>
      </c>
      <c r="M57">
        <v>54.47</v>
      </c>
    </row>
    <row r="58" spans="1:13">
      <c r="A58">
        <f t="shared" si="5"/>
        <v>2017</v>
      </c>
      <c r="B58" t="s">
        <v>22</v>
      </c>
      <c r="C58">
        <f t="shared" si="2"/>
        <v>57</v>
      </c>
      <c r="D58">
        <v>7.3039699999999996</v>
      </c>
      <c r="E58">
        <v>4.3600000000000003</v>
      </c>
      <c r="F58" s="1">
        <v>112.06425251041087</v>
      </c>
      <c r="G58">
        <v>2.061287803962486</v>
      </c>
      <c r="H58" s="2">
        <v>3</v>
      </c>
      <c r="I58" s="1">
        <v>74.222153820655819</v>
      </c>
      <c r="J58" s="3">
        <v>80.463640927673055</v>
      </c>
      <c r="K58">
        <f t="shared" si="3"/>
        <v>115.99985233858759</v>
      </c>
      <c r="L58">
        <f t="shared" si="4"/>
        <v>105.95041647513756</v>
      </c>
      <c r="M58">
        <v>55.34</v>
      </c>
    </row>
    <row r="59" spans="1:13">
      <c r="A59">
        <f t="shared" si="5"/>
        <v>2017</v>
      </c>
      <c r="B59" t="s">
        <v>23</v>
      </c>
      <c r="C59">
        <f t="shared" si="2"/>
        <v>58</v>
      </c>
      <c r="D59">
        <v>7.3406900000000004</v>
      </c>
      <c r="E59">
        <v>4.2</v>
      </c>
      <c r="F59" s="1">
        <v>113.61062299053451</v>
      </c>
      <c r="G59">
        <v>2.8799610588884121</v>
      </c>
      <c r="H59" s="2">
        <v>3</v>
      </c>
      <c r="I59" s="1">
        <v>74.624641632560383</v>
      </c>
      <c r="J59" s="3">
        <v>80.412784518787547</v>
      </c>
      <c r="K59">
        <f t="shared" si="3"/>
        <v>116.62888995533238</v>
      </c>
      <c r="L59">
        <f t="shared" si="4"/>
        <v>105.88345135101783</v>
      </c>
      <c r="M59">
        <v>54.98</v>
      </c>
    </row>
    <row r="60" spans="1:13">
      <c r="A60">
        <f t="shared" si="5"/>
        <v>2017</v>
      </c>
      <c r="B60" t="s">
        <v>24</v>
      </c>
      <c r="C60">
        <f t="shared" si="2"/>
        <v>59</v>
      </c>
      <c r="D60">
        <v>7.3297949999999998</v>
      </c>
      <c r="E60">
        <v>4.6900000000000004</v>
      </c>
      <c r="F60" s="1">
        <v>116.91956042557251</v>
      </c>
      <c r="G60">
        <v>1.6710736042641656</v>
      </c>
      <c r="H60" s="2">
        <v>2.75</v>
      </c>
      <c r="I60" s="1">
        <v>75.265220826155002</v>
      </c>
      <c r="J60" s="3">
        <v>80.414740534513911</v>
      </c>
      <c r="K60">
        <f t="shared" si="3"/>
        <v>117.63003433127837</v>
      </c>
      <c r="L60">
        <f t="shared" si="4"/>
        <v>105.88602693271471</v>
      </c>
      <c r="M60">
        <v>54.47</v>
      </c>
    </row>
    <row r="61" spans="1:13">
      <c r="A61">
        <f t="shared" si="5"/>
        <v>2017</v>
      </c>
      <c r="B61" t="s">
        <v>25</v>
      </c>
      <c r="C61">
        <f t="shared" si="2"/>
        <v>60</v>
      </c>
      <c r="D61">
        <v>7.3479449999999993</v>
      </c>
      <c r="E61">
        <v>5.68</v>
      </c>
      <c r="F61" s="1">
        <v>122.62904205856445</v>
      </c>
      <c r="G61">
        <v>1.6461267331684581</v>
      </c>
      <c r="H61" s="2">
        <v>2.75</v>
      </c>
      <c r="I61" s="1">
        <v>75.97949497122508</v>
      </c>
      <c r="J61" s="3">
        <v>80.367470154460051</v>
      </c>
      <c r="K61">
        <f t="shared" si="3"/>
        <v>118.74635460888182</v>
      </c>
      <c r="L61">
        <f t="shared" si="4"/>
        <v>105.82378370837262</v>
      </c>
      <c r="M61">
        <v>54.27</v>
      </c>
    </row>
    <row r="62" spans="1:13">
      <c r="A62">
        <f t="shared" si="5"/>
        <v>2018</v>
      </c>
      <c r="B62" t="s">
        <v>0</v>
      </c>
      <c r="C62">
        <f t="shared" si="2"/>
        <v>61</v>
      </c>
      <c r="D62">
        <v>7.3417750000000002</v>
      </c>
      <c r="E62">
        <v>4.71</v>
      </c>
      <c r="F62" s="1">
        <v>117.72796590157371</v>
      </c>
      <c r="G62">
        <v>2.01063617550723</v>
      </c>
      <c r="H62" s="2">
        <v>2.75</v>
      </c>
      <c r="I62" s="1">
        <v>75.679046322901939</v>
      </c>
      <c r="J62" s="3">
        <v>80.805291674545074</v>
      </c>
      <c r="K62">
        <f t="shared" si="3"/>
        <v>118.27679131750892</v>
      </c>
      <c r="L62">
        <f t="shared" si="4"/>
        <v>106.40028474486539</v>
      </c>
      <c r="M62">
        <v>55.05</v>
      </c>
    </row>
    <row r="63" spans="1:13">
      <c r="A63">
        <f t="shared" si="5"/>
        <v>2018</v>
      </c>
      <c r="B63" t="s">
        <v>15</v>
      </c>
      <c r="C63">
        <f t="shared" si="2"/>
        <v>62</v>
      </c>
      <c r="D63">
        <v>7.3603249999999996</v>
      </c>
      <c r="E63">
        <v>4.1500000000000004</v>
      </c>
      <c r="F63" s="1">
        <v>117.75273897690084</v>
      </c>
      <c r="G63">
        <v>3.0114378154812727</v>
      </c>
      <c r="H63" s="2">
        <v>2.75</v>
      </c>
      <c r="I63" s="1">
        <v>75.525987577529776</v>
      </c>
      <c r="J63" s="3">
        <v>81.171718620617725</v>
      </c>
      <c r="K63">
        <f t="shared" si="3"/>
        <v>118.03757982945102</v>
      </c>
      <c r="L63">
        <f t="shared" si="4"/>
        <v>106.88277704942078</v>
      </c>
      <c r="M63">
        <v>55.73</v>
      </c>
    </row>
    <row r="64" spans="1:13">
      <c r="A64">
        <f t="shared" si="5"/>
        <v>2018</v>
      </c>
      <c r="B64" t="s">
        <v>16</v>
      </c>
      <c r="C64">
        <f t="shared" si="2"/>
        <v>63</v>
      </c>
      <c r="D64">
        <v>7.3925549999999998</v>
      </c>
      <c r="E64">
        <v>4.1399999999999997</v>
      </c>
      <c r="F64" s="1">
        <v>121.73186209447444</v>
      </c>
      <c r="G64">
        <v>3.0920499332464573</v>
      </c>
      <c r="H64" s="2">
        <v>2.75</v>
      </c>
      <c r="I64" s="1">
        <v>75.701721692586702</v>
      </c>
      <c r="J64" s="3">
        <v>81.355258096275108</v>
      </c>
      <c r="K64">
        <f t="shared" si="3"/>
        <v>118.31223005648044</v>
      </c>
      <c r="L64">
        <f t="shared" si="4"/>
        <v>107.12445246531462</v>
      </c>
      <c r="M64">
        <v>55.85</v>
      </c>
    </row>
    <row r="65" spans="1:13">
      <c r="A65">
        <f t="shared" si="5"/>
        <v>2018</v>
      </c>
      <c r="B65" t="s">
        <v>17</v>
      </c>
      <c r="C65">
        <f t="shared" si="2"/>
        <v>64</v>
      </c>
      <c r="D65">
        <v>7.401605</v>
      </c>
      <c r="E65">
        <v>3.92</v>
      </c>
      <c r="F65" s="1">
        <v>119.49600643114813</v>
      </c>
      <c r="G65">
        <v>4.1934025337596097</v>
      </c>
      <c r="H65" s="2">
        <v>2.75</v>
      </c>
      <c r="I65" s="1">
        <v>75.735734747113852</v>
      </c>
      <c r="J65" s="3">
        <v>81.678652696367678</v>
      </c>
      <c r="K65">
        <f t="shared" si="3"/>
        <v>118.36538816493776</v>
      </c>
      <c r="L65">
        <f t="shared" si="4"/>
        <v>107.55028197253785</v>
      </c>
      <c r="M65">
        <v>56.14</v>
      </c>
    </row>
    <row r="66" spans="1:13">
      <c r="A66">
        <f t="shared" si="5"/>
        <v>2018</v>
      </c>
      <c r="B66" t="s">
        <v>18</v>
      </c>
      <c r="C66">
        <f t="shared" si="2"/>
        <v>65</v>
      </c>
      <c r="D66">
        <v>7.4432799999999997</v>
      </c>
      <c r="E66">
        <v>4.09</v>
      </c>
      <c r="F66" s="1">
        <v>118.66552658758076</v>
      </c>
      <c r="G66">
        <v>4.3499948505731538</v>
      </c>
      <c r="H66" s="2">
        <v>2.75</v>
      </c>
      <c r="I66" s="1">
        <v>76.092871819648892</v>
      </c>
      <c r="J66" s="3">
        <v>82.018347427513319</v>
      </c>
      <c r="K66">
        <f t="shared" si="3"/>
        <v>118.92354830373948</v>
      </c>
      <c r="L66">
        <f t="shared" si="4"/>
        <v>107.99757466056874</v>
      </c>
      <c r="M66">
        <v>55.52</v>
      </c>
    </row>
    <row r="67" spans="1:13">
      <c r="A67">
        <f t="shared" si="5"/>
        <v>2018</v>
      </c>
      <c r="B67" t="s">
        <v>19</v>
      </c>
      <c r="C67">
        <f t="shared" si="2"/>
        <v>66</v>
      </c>
      <c r="D67">
        <v>7.4842700000000004</v>
      </c>
      <c r="E67">
        <v>3.79</v>
      </c>
      <c r="F67" s="1">
        <v>116.38607164507326</v>
      </c>
      <c r="G67">
        <v>4.248329005386168</v>
      </c>
      <c r="H67" s="2">
        <v>2.75</v>
      </c>
      <c r="I67" s="1">
        <v>76.52937268608062</v>
      </c>
      <c r="J67" s="3">
        <v>82.149074478558816</v>
      </c>
      <c r="K67">
        <f t="shared" si="3"/>
        <v>119.60574402894161</v>
      </c>
      <c r="L67">
        <f t="shared" si="4"/>
        <v>108.16970937064588</v>
      </c>
      <c r="M67">
        <v>55.17</v>
      </c>
    </row>
    <row r="68" spans="1:13">
      <c r="A68">
        <f t="shared" si="5"/>
        <v>2018</v>
      </c>
      <c r="B68" t="s">
        <v>20</v>
      </c>
      <c r="C68">
        <f t="shared" ref="C68:C131" si="6">C67+1</f>
        <v>67</v>
      </c>
      <c r="D68">
        <v>7.4821650000000002</v>
      </c>
      <c r="E68">
        <v>2.61</v>
      </c>
      <c r="F68" s="1">
        <v>118.2215589634497</v>
      </c>
      <c r="G68">
        <v>3.8504750019456822</v>
      </c>
      <c r="H68" s="2">
        <v>2.75</v>
      </c>
      <c r="I68" s="1">
        <v>76.801477122297783</v>
      </c>
      <c r="J68" s="3">
        <v>82.154616523116843</v>
      </c>
      <c r="K68">
        <f t="shared" si="3"/>
        <v>120.03100889660006</v>
      </c>
      <c r="L68">
        <f t="shared" si="4"/>
        <v>108.17700685212046</v>
      </c>
      <c r="M68">
        <v>55.12</v>
      </c>
    </row>
    <row r="69" spans="1:13">
      <c r="A69">
        <f t="shared" si="5"/>
        <v>2018</v>
      </c>
      <c r="B69" t="s">
        <v>21</v>
      </c>
      <c r="C69">
        <f t="shared" si="6"/>
        <v>68</v>
      </c>
      <c r="D69">
        <v>7.5073799999999995</v>
      </c>
      <c r="E69">
        <v>3.36</v>
      </c>
      <c r="F69" s="1">
        <v>118.00984895519923</v>
      </c>
      <c r="G69">
        <v>3.6098383339814717</v>
      </c>
      <c r="H69" s="2">
        <v>2.75</v>
      </c>
      <c r="I69" s="1">
        <v>77.141607667569275</v>
      </c>
      <c r="J69" s="3">
        <v>82.20025689006539</v>
      </c>
      <c r="K69">
        <f t="shared" si="3"/>
        <v>120.56258998117315</v>
      </c>
      <c r="L69">
        <f t="shared" si="4"/>
        <v>108.23710375838181</v>
      </c>
      <c r="M69">
        <v>55.11</v>
      </c>
    </row>
    <row r="70" spans="1:13">
      <c r="A70">
        <f t="shared" si="5"/>
        <v>2018</v>
      </c>
      <c r="B70" t="s">
        <v>22</v>
      </c>
      <c r="C70">
        <f t="shared" si="6"/>
        <v>69</v>
      </c>
      <c r="D70">
        <v>7.6646650000000003</v>
      </c>
      <c r="E70">
        <v>4.55</v>
      </c>
      <c r="F70" s="1">
        <v>115.44736725854446</v>
      </c>
      <c r="G70">
        <v>3.0189062723809315</v>
      </c>
      <c r="H70" s="2">
        <v>2.75</v>
      </c>
      <c r="I70" s="1">
        <v>77.600783903685738</v>
      </c>
      <c r="J70" s="3">
        <v>82.295775658036291</v>
      </c>
      <c r="K70">
        <f t="shared" si="3"/>
        <v>121.28022444534676</v>
      </c>
      <c r="L70">
        <f t="shared" si="4"/>
        <v>108.36287799791448</v>
      </c>
      <c r="M70">
        <v>55.92</v>
      </c>
    </row>
    <row r="71" spans="1:13">
      <c r="A71">
        <f t="shared" si="5"/>
        <v>2018</v>
      </c>
      <c r="B71" t="s">
        <v>23</v>
      </c>
      <c r="C71">
        <f t="shared" si="6"/>
        <v>70</v>
      </c>
      <c r="D71">
        <v>7.72342</v>
      </c>
      <c r="E71">
        <v>4.34</v>
      </c>
      <c r="F71" s="1">
        <v>118.05227064071046</v>
      </c>
      <c r="G71">
        <v>3.9095355110815717</v>
      </c>
      <c r="H71" s="2">
        <v>2.75</v>
      </c>
      <c r="I71" s="1">
        <v>77.86155065506054</v>
      </c>
      <c r="J71" s="3">
        <v>82.441172827029533</v>
      </c>
      <c r="K71">
        <f t="shared" si="3"/>
        <v>121.68776994351948</v>
      </c>
      <c r="L71">
        <f t="shared" si="4"/>
        <v>108.55432957071849</v>
      </c>
      <c r="M71">
        <v>56.18</v>
      </c>
    </row>
    <row r="72" spans="1:13">
      <c r="A72">
        <f t="shared" si="5"/>
        <v>2018</v>
      </c>
      <c r="B72" t="s">
        <v>24</v>
      </c>
      <c r="C72">
        <f t="shared" si="6"/>
        <v>71</v>
      </c>
      <c r="D72">
        <v>7.6971550000000004</v>
      </c>
      <c r="E72">
        <v>3.15</v>
      </c>
      <c r="F72" s="1">
        <v>121.16419592973145</v>
      </c>
      <c r="G72">
        <v>3.6303895504815387</v>
      </c>
      <c r="H72" s="2">
        <v>2.75</v>
      </c>
      <c r="I72" s="1">
        <v>77.634796958212888</v>
      </c>
      <c r="J72" s="3">
        <v>82.165048606990808</v>
      </c>
      <c r="K72">
        <f t="shared" si="3"/>
        <v>121.33338255380409</v>
      </c>
      <c r="L72">
        <f t="shared" si="4"/>
        <v>108.19074328783735</v>
      </c>
      <c r="M72">
        <v>55.58</v>
      </c>
    </row>
    <row r="73" spans="1:13">
      <c r="A73">
        <f t="shared" si="5"/>
        <v>2018</v>
      </c>
      <c r="B73" t="s">
        <v>25</v>
      </c>
      <c r="C73">
        <f t="shared" si="6"/>
        <v>72</v>
      </c>
      <c r="D73">
        <v>7.5191599999999994</v>
      </c>
      <c r="E73">
        <v>2.31</v>
      </c>
      <c r="F73" s="1">
        <v>125.19421314323006</v>
      </c>
      <c r="G73">
        <v>2.0918136858971224</v>
      </c>
      <c r="H73" s="2">
        <v>2.75</v>
      </c>
      <c r="I73" s="1">
        <v>77.73683612179434</v>
      </c>
      <c r="J73" s="3">
        <v>81.902616497036632</v>
      </c>
      <c r="K73">
        <f t="shared" si="3"/>
        <v>121.49285687917603</v>
      </c>
      <c r="L73">
        <f t="shared" si="4"/>
        <v>107.84518607683459</v>
      </c>
      <c r="M73">
        <v>55.86</v>
      </c>
    </row>
    <row r="74" spans="1:13">
      <c r="A74">
        <f t="shared" si="5"/>
        <v>2019</v>
      </c>
      <c r="B74" t="s">
        <v>0</v>
      </c>
      <c r="C74">
        <f t="shared" si="6"/>
        <v>73</v>
      </c>
      <c r="D74">
        <v>7.7299799999999994</v>
      </c>
      <c r="E74">
        <v>4.0999999999999996</v>
      </c>
      <c r="F74" s="1">
        <v>121.91605379880613</v>
      </c>
      <c r="G74">
        <v>3.5574282330961751</v>
      </c>
      <c r="H74" s="2">
        <v>2.75</v>
      </c>
      <c r="I74" s="1">
        <v>78.785571969714695</v>
      </c>
      <c r="J74" s="3">
        <v>82.058771752524891</v>
      </c>
      <c r="K74">
        <f t="shared" si="3"/>
        <v>123.13189855660967</v>
      </c>
      <c r="L74">
        <f t="shared" si="4"/>
        <v>108.05080334897164</v>
      </c>
      <c r="M74">
        <v>55.46</v>
      </c>
    </row>
    <row r="75" spans="1:13">
      <c r="A75">
        <f t="shared" si="5"/>
        <v>2019</v>
      </c>
      <c r="B75" t="s">
        <v>15</v>
      </c>
      <c r="C75">
        <f t="shared" si="6"/>
        <v>74</v>
      </c>
      <c r="D75">
        <v>7.7311350000000001</v>
      </c>
      <c r="E75">
        <v>4.46</v>
      </c>
      <c r="F75" s="1">
        <v>122.67318302855887</v>
      </c>
      <c r="G75">
        <v>4.178623864217073</v>
      </c>
      <c r="H75" s="2">
        <v>2.75</v>
      </c>
      <c r="I75" s="1">
        <v>78.89327997571732</v>
      </c>
      <c r="J75" s="3">
        <v>82.405638541333886</v>
      </c>
      <c r="K75">
        <f t="shared" si="3"/>
        <v>123.30023256672445</v>
      </c>
      <c r="L75">
        <f t="shared" si="4"/>
        <v>108.50753983655788</v>
      </c>
      <c r="M75">
        <v>55.58</v>
      </c>
    </row>
    <row r="76" spans="1:13">
      <c r="A76">
        <f t="shared" si="5"/>
        <v>2019</v>
      </c>
      <c r="B76" t="s">
        <v>16</v>
      </c>
      <c r="C76">
        <f t="shared" si="6"/>
        <v>75</v>
      </c>
      <c r="D76">
        <v>7.6875299999999998</v>
      </c>
      <c r="E76">
        <v>4.17</v>
      </c>
      <c r="F76" s="1">
        <v>125.94286993142036</v>
      </c>
      <c r="G76">
        <v>3.4592486835351508</v>
      </c>
      <c r="H76" s="2">
        <v>2.75</v>
      </c>
      <c r="I76" s="1">
        <v>78.859266921190198</v>
      </c>
      <c r="J76" s="3">
        <v>82.870518278966969</v>
      </c>
      <c r="K76">
        <f t="shared" si="3"/>
        <v>123.24707445826719</v>
      </c>
      <c r="L76">
        <f t="shared" si="4"/>
        <v>109.11966975319129</v>
      </c>
      <c r="M76">
        <v>55.44</v>
      </c>
    </row>
    <row r="77" spans="1:13">
      <c r="A77">
        <f t="shared" si="5"/>
        <v>2019</v>
      </c>
      <c r="B77" t="s">
        <v>17</v>
      </c>
      <c r="C77">
        <f t="shared" si="6"/>
        <v>76</v>
      </c>
      <c r="D77">
        <v>7.642595</v>
      </c>
      <c r="E77">
        <v>4.75</v>
      </c>
      <c r="F77" s="1">
        <v>123.97271227557616</v>
      </c>
      <c r="G77">
        <v>3.7463225576558727</v>
      </c>
      <c r="H77" s="2">
        <v>2.75</v>
      </c>
      <c r="I77" s="1">
        <v>79.335449684570236</v>
      </c>
      <c r="J77" s="3">
        <v>83.309317806915175</v>
      </c>
      <c r="K77">
        <f t="shared" si="3"/>
        <v>123.99128797666945</v>
      </c>
      <c r="L77">
        <f t="shared" si="4"/>
        <v>109.69745858053255</v>
      </c>
      <c r="M77">
        <v>55.01</v>
      </c>
    </row>
    <row r="78" spans="1:13">
      <c r="A78">
        <f t="shared" si="5"/>
        <v>2019</v>
      </c>
      <c r="B78" t="s">
        <v>18</v>
      </c>
      <c r="C78">
        <f t="shared" si="6"/>
        <v>77</v>
      </c>
      <c r="D78">
        <v>7.670585</v>
      </c>
      <c r="E78">
        <v>4.54</v>
      </c>
      <c r="F78" s="1">
        <v>123.67936959146709</v>
      </c>
      <c r="G78">
        <v>4.2251891918971864</v>
      </c>
      <c r="H78" s="2">
        <v>2.75</v>
      </c>
      <c r="I78" s="1">
        <v>79.545196854154312</v>
      </c>
      <c r="J78" s="3">
        <v>83.486663232772386</v>
      </c>
      <c r="K78">
        <f t="shared" ref="K78:K141" si="7">I78/AVERAGE($I$2:$I$13)*100</f>
        <v>124.31909631215619</v>
      </c>
      <c r="L78">
        <f t="shared" ref="L78:L141" si="8">J78/AVERAGE($J$2:$J$13)*100</f>
        <v>109.93097798771947</v>
      </c>
      <c r="M78">
        <v>54.9</v>
      </c>
    </row>
    <row r="79" spans="1:13">
      <c r="A79">
        <f t="shared" ref="A79:A142" si="9">A67+1</f>
        <v>2019</v>
      </c>
      <c r="B79" t="s">
        <v>19</v>
      </c>
      <c r="C79">
        <f t="shared" si="6"/>
        <v>78</v>
      </c>
      <c r="D79">
        <v>7.7020049999999998</v>
      </c>
      <c r="E79">
        <v>4.8</v>
      </c>
      <c r="F79" s="1">
        <v>120.49404589940934</v>
      </c>
      <c r="G79">
        <v>3.529609854745857</v>
      </c>
      <c r="H79" s="2">
        <v>2.75</v>
      </c>
      <c r="I79" s="1">
        <v>80.202782575012478</v>
      </c>
      <c r="J79" s="3">
        <v>83.503289366446495</v>
      </c>
      <c r="K79">
        <f t="shared" si="7"/>
        <v>125.34681974233079</v>
      </c>
      <c r="L79">
        <f t="shared" si="8"/>
        <v>109.95287043214323</v>
      </c>
      <c r="M79">
        <v>54.71</v>
      </c>
    </row>
    <row r="80" spans="1:13">
      <c r="A80">
        <f t="shared" si="9"/>
        <v>2019</v>
      </c>
      <c r="B80" t="s">
        <v>20</v>
      </c>
      <c r="C80">
        <f t="shared" si="6"/>
        <v>79</v>
      </c>
      <c r="D80">
        <v>7.6721149999999998</v>
      </c>
      <c r="E80">
        <v>4.37</v>
      </c>
      <c r="F80" s="1">
        <v>123.0369850234205</v>
      </c>
      <c r="G80">
        <v>4.0732215868169703</v>
      </c>
      <c r="H80" s="2">
        <v>2.75</v>
      </c>
      <c r="I80" s="1">
        <v>80.157431835642967</v>
      </c>
      <c r="J80" s="3">
        <v>83.642818488260659</v>
      </c>
      <c r="K80">
        <f t="shared" si="7"/>
        <v>125.27594226438774</v>
      </c>
      <c r="L80">
        <f t="shared" si="8"/>
        <v>110.13659525985653</v>
      </c>
      <c r="M80">
        <v>54.75</v>
      </c>
    </row>
    <row r="81" spans="1:13">
      <c r="A81">
        <f t="shared" si="9"/>
        <v>2019</v>
      </c>
      <c r="B81" t="s">
        <v>21</v>
      </c>
      <c r="C81">
        <f t="shared" si="6"/>
        <v>80</v>
      </c>
      <c r="D81">
        <v>7.6697949999999997</v>
      </c>
      <c r="E81">
        <v>3.01</v>
      </c>
      <c r="F81" s="1">
        <v>121.98891081873782</v>
      </c>
      <c r="G81">
        <v>3.3718048949026098</v>
      </c>
      <c r="H81" s="2">
        <v>2.75</v>
      </c>
      <c r="I81" s="1">
        <v>79.465833060257637</v>
      </c>
      <c r="J81" s="3">
        <v>83.638580454186851</v>
      </c>
      <c r="K81">
        <f t="shared" si="7"/>
        <v>124.19506072575581</v>
      </c>
      <c r="L81">
        <f t="shared" si="8"/>
        <v>110.13101483284653</v>
      </c>
      <c r="M81">
        <v>54.85</v>
      </c>
    </row>
    <row r="82" spans="1:13">
      <c r="A82">
        <f t="shared" si="9"/>
        <v>2019</v>
      </c>
      <c r="B82" t="s">
        <v>22</v>
      </c>
      <c r="C82">
        <f t="shared" si="6"/>
        <v>81</v>
      </c>
      <c r="D82">
        <v>7.70967</v>
      </c>
      <c r="E82">
        <v>1.8</v>
      </c>
      <c r="F82" s="1">
        <v>120.84206510684533</v>
      </c>
      <c r="G82">
        <v>4.6728634670545972</v>
      </c>
      <c r="H82" s="2">
        <v>2.75</v>
      </c>
      <c r="I82" s="1">
        <v>79.000987981719973</v>
      </c>
      <c r="J82" s="3">
        <v>83.704106981020132</v>
      </c>
      <c r="K82">
        <f t="shared" si="7"/>
        <v>123.46856657683929</v>
      </c>
      <c r="L82">
        <f t="shared" si="8"/>
        <v>110.21729681969319</v>
      </c>
      <c r="M82">
        <v>55.39</v>
      </c>
    </row>
    <row r="83" spans="1:13">
      <c r="A83">
        <f t="shared" si="9"/>
        <v>2019</v>
      </c>
      <c r="B83" t="s">
        <v>23</v>
      </c>
      <c r="C83">
        <f t="shared" si="6"/>
        <v>82</v>
      </c>
      <c r="D83">
        <v>7.7552500000000002</v>
      </c>
      <c r="E83">
        <v>2.17</v>
      </c>
      <c r="F83" s="1">
        <v>122.92779122768907</v>
      </c>
      <c r="G83">
        <v>4.1299676495144695</v>
      </c>
      <c r="H83" s="2">
        <v>2.75</v>
      </c>
      <c r="I83" s="1">
        <v>79.550865696575514</v>
      </c>
      <c r="J83" s="3">
        <v>83.895470519582972</v>
      </c>
      <c r="K83">
        <f t="shared" si="7"/>
        <v>124.32795599689909</v>
      </c>
      <c r="L83">
        <f t="shared" si="8"/>
        <v>110.46927456237468</v>
      </c>
      <c r="M83">
        <v>55.59</v>
      </c>
    </row>
    <row r="84" spans="1:13">
      <c r="A84">
        <f t="shared" si="9"/>
        <v>2019</v>
      </c>
      <c r="B84" t="s">
        <v>24</v>
      </c>
      <c r="C84">
        <f t="shared" si="6"/>
        <v>83</v>
      </c>
      <c r="D84">
        <v>7.7024349999999995</v>
      </c>
      <c r="E84">
        <v>2.92</v>
      </c>
      <c r="F84" s="1">
        <v>127.07408278111649</v>
      </c>
      <c r="G84">
        <v>4.8775851694773422</v>
      </c>
      <c r="H84" s="2">
        <v>2.75</v>
      </c>
      <c r="I84" s="1">
        <v>79.902333926689352</v>
      </c>
      <c r="J84" s="3">
        <v>83.85048215787657</v>
      </c>
      <c r="K84">
        <f t="shared" si="7"/>
        <v>124.8772564509579</v>
      </c>
      <c r="L84">
        <f t="shared" si="8"/>
        <v>110.41003618334567</v>
      </c>
      <c r="M84">
        <v>55.17</v>
      </c>
    </row>
    <row r="85" spans="1:13">
      <c r="A85">
        <f t="shared" si="9"/>
        <v>2019</v>
      </c>
      <c r="B85" t="s">
        <v>25</v>
      </c>
      <c r="C85">
        <f t="shared" si="6"/>
        <v>84</v>
      </c>
      <c r="D85">
        <v>7.68729</v>
      </c>
      <c r="E85">
        <v>3.41</v>
      </c>
      <c r="F85" s="1">
        <v>130.67109758032612</v>
      </c>
      <c r="G85">
        <v>4.3747105394002119</v>
      </c>
      <c r="H85" s="2">
        <v>2.75</v>
      </c>
      <c r="I85" s="1">
        <v>80.384185532490619</v>
      </c>
      <c r="J85" s="3">
        <v>83.774197544548258</v>
      </c>
      <c r="K85">
        <f t="shared" si="7"/>
        <v>125.63032965410312</v>
      </c>
      <c r="L85">
        <f t="shared" si="8"/>
        <v>110.30958849716595</v>
      </c>
      <c r="M85">
        <v>54.98</v>
      </c>
    </row>
    <row r="86" spans="1:13">
      <c r="A86">
        <f t="shared" si="9"/>
        <v>2020</v>
      </c>
      <c r="B86" t="s">
        <v>0</v>
      </c>
      <c r="C86">
        <f t="shared" si="6"/>
        <v>85</v>
      </c>
      <c r="D86">
        <v>7.6903649999999999</v>
      </c>
      <c r="E86">
        <v>1.78</v>
      </c>
      <c r="F86" s="1">
        <v>127.12849938389616</v>
      </c>
      <c r="G86">
        <v>4.2754382402271176</v>
      </c>
      <c r="H86" s="2">
        <v>2.75</v>
      </c>
      <c r="I86" s="1">
        <v>80.191444890170118</v>
      </c>
      <c r="J86" s="3">
        <v>84.099222157746155</v>
      </c>
      <c r="K86">
        <f t="shared" si="7"/>
        <v>125.32910037284506</v>
      </c>
      <c r="L86">
        <f t="shared" si="8"/>
        <v>110.73756432246998</v>
      </c>
      <c r="M86">
        <v>55.44</v>
      </c>
    </row>
    <row r="87" spans="1:13">
      <c r="A87">
        <f t="shared" si="9"/>
        <v>2020</v>
      </c>
      <c r="B87" t="s">
        <v>15</v>
      </c>
      <c r="C87">
        <f t="shared" si="6"/>
        <v>86</v>
      </c>
      <c r="D87">
        <v>7.6472199999999999</v>
      </c>
      <c r="E87">
        <v>1.24</v>
      </c>
      <c r="F87" s="1">
        <v>125.52437088264028</v>
      </c>
      <c r="G87">
        <v>2.3242144564045759</v>
      </c>
      <c r="H87" s="2">
        <v>2.75</v>
      </c>
      <c r="I87" s="1">
        <v>79.868320872162201</v>
      </c>
      <c r="J87" s="3">
        <v>84.329706010836333</v>
      </c>
      <c r="K87">
        <f t="shared" si="7"/>
        <v>124.82409834250059</v>
      </c>
      <c r="L87">
        <f t="shared" si="8"/>
        <v>111.04105369908979</v>
      </c>
      <c r="M87">
        <v>55.24</v>
      </c>
    </row>
    <row r="88" spans="1:13">
      <c r="A88">
        <f t="shared" si="9"/>
        <v>2020</v>
      </c>
      <c r="B88" t="s">
        <v>16</v>
      </c>
      <c r="C88">
        <f t="shared" si="6"/>
        <v>87</v>
      </c>
      <c r="D88">
        <v>7.6903749999999995</v>
      </c>
      <c r="E88">
        <v>1.77</v>
      </c>
      <c r="F88" s="1">
        <v>120.91489565316479</v>
      </c>
      <c r="G88">
        <v>-3.9922659226309918</v>
      </c>
      <c r="H88" s="2">
        <v>2</v>
      </c>
      <c r="I88" s="1">
        <v>80.253802156803204</v>
      </c>
      <c r="J88" s="3">
        <v>84.146166535178949</v>
      </c>
      <c r="K88">
        <f t="shared" si="7"/>
        <v>125.42655690501677</v>
      </c>
      <c r="L88">
        <f t="shared" si="8"/>
        <v>110.79937828319595</v>
      </c>
      <c r="M88">
        <v>54.08</v>
      </c>
    </row>
    <row r="89" spans="1:13">
      <c r="A89">
        <f t="shared" si="9"/>
        <v>2020</v>
      </c>
      <c r="B89" t="s">
        <v>17</v>
      </c>
      <c r="C89">
        <f t="shared" si="6"/>
        <v>88</v>
      </c>
      <c r="D89">
        <v>7.7087450000000004</v>
      </c>
      <c r="E89">
        <v>1.88</v>
      </c>
      <c r="F89" s="1">
        <v>112.091813923693</v>
      </c>
      <c r="G89">
        <v>-9.5834786008983741</v>
      </c>
      <c r="H89" s="2">
        <v>2</v>
      </c>
      <c r="I89" s="1">
        <v>80.826355241343521</v>
      </c>
      <c r="J89" s="3">
        <v>83.583486011227535</v>
      </c>
      <c r="K89">
        <f t="shared" si="7"/>
        <v>126.32138506404812</v>
      </c>
      <c r="L89">
        <f t="shared" si="8"/>
        <v>110.05846928171677</v>
      </c>
      <c r="M89">
        <v>52.77</v>
      </c>
    </row>
    <row r="90" spans="1:13">
      <c r="A90">
        <f t="shared" si="9"/>
        <v>2020</v>
      </c>
      <c r="B90" t="s">
        <v>18</v>
      </c>
      <c r="C90">
        <f t="shared" si="6"/>
        <v>89</v>
      </c>
      <c r="D90">
        <v>7.6949900000000007</v>
      </c>
      <c r="E90">
        <v>1.8</v>
      </c>
      <c r="F90" s="1">
        <v>110.96691822434745</v>
      </c>
      <c r="G90">
        <v>-10.278554466368092</v>
      </c>
      <c r="H90" s="2">
        <v>2</v>
      </c>
      <c r="I90" s="1">
        <v>80.97941398671567</v>
      </c>
      <c r="J90" s="3">
        <v>83.585116024332848</v>
      </c>
      <c r="K90">
        <f t="shared" si="7"/>
        <v>126.56059655210599</v>
      </c>
      <c r="L90">
        <f t="shared" si="8"/>
        <v>110.06061559979754</v>
      </c>
      <c r="M90">
        <v>52.66</v>
      </c>
    </row>
    <row r="91" spans="1:13">
      <c r="A91">
        <f t="shared" si="9"/>
        <v>2020</v>
      </c>
      <c r="B91" t="s">
        <v>19</v>
      </c>
      <c r="C91">
        <f t="shared" si="6"/>
        <v>90</v>
      </c>
      <c r="D91">
        <v>7.6980050000000002</v>
      </c>
      <c r="E91">
        <v>2.39</v>
      </c>
      <c r="F91" s="1">
        <v>111.00510428227074</v>
      </c>
      <c r="G91">
        <v>-7.8750294641613721</v>
      </c>
      <c r="H91" s="2">
        <v>1.75</v>
      </c>
      <c r="I91" s="1">
        <v>82.118851313375103</v>
      </c>
      <c r="J91" s="3">
        <v>84.04249770168154</v>
      </c>
      <c r="K91">
        <f t="shared" si="7"/>
        <v>128.3413931854258</v>
      </c>
      <c r="L91">
        <f t="shared" si="8"/>
        <v>110.66287245325948</v>
      </c>
      <c r="M91">
        <v>52.7</v>
      </c>
    </row>
    <row r="92" spans="1:13">
      <c r="A92">
        <f t="shared" si="9"/>
        <v>2020</v>
      </c>
      <c r="B92" t="s">
        <v>20</v>
      </c>
      <c r="C92">
        <f t="shared" si="6"/>
        <v>91</v>
      </c>
      <c r="D92">
        <v>7.6958799999999998</v>
      </c>
      <c r="E92">
        <v>2.88</v>
      </c>
      <c r="F92" s="1">
        <v>118.24858632372711</v>
      </c>
      <c r="G92">
        <v>-3.8918368316501812</v>
      </c>
      <c r="H92" s="2">
        <v>1.75</v>
      </c>
      <c r="I92" s="1">
        <v>82.464650701067754</v>
      </c>
      <c r="J92" s="3">
        <v>84.467605119545155</v>
      </c>
      <c r="K92">
        <f t="shared" si="7"/>
        <v>128.88183395474172</v>
      </c>
      <c r="L92">
        <f t="shared" si="8"/>
        <v>111.22263220872226</v>
      </c>
      <c r="M92">
        <v>52.68</v>
      </c>
    </row>
    <row r="93" spans="1:13">
      <c r="A93">
        <f t="shared" si="9"/>
        <v>2020</v>
      </c>
      <c r="B93" t="s">
        <v>21</v>
      </c>
      <c r="C93">
        <f t="shared" si="6"/>
        <v>92</v>
      </c>
      <c r="D93">
        <v>7.7048649999999999</v>
      </c>
      <c r="E93">
        <v>4.1900000000000004</v>
      </c>
      <c r="F93" s="1">
        <v>120.62995575295652</v>
      </c>
      <c r="G93">
        <v>-1.1139988517485477</v>
      </c>
      <c r="H93" s="2">
        <v>1.75</v>
      </c>
      <c r="I93" s="1">
        <v>82.793443561496858</v>
      </c>
      <c r="J93" s="3">
        <v>84.733949260952059</v>
      </c>
      <c r="K93">
        <f t="shared" si="7"/>
        <v>129.39569566982908</v>
      </c>
      <c r="L93">
        <f t="shared" si="8"/>
        <v>111.57334058311885</v>
      </c>
      <c r="M93">
        <v>52.83</v>
      </c>
    </row>
    <row r="94" spans="1:13">
      <c r="A94">
        <f t="shared" si="9"/>
        <v>2020</v>
      </c>
      <c r="B94" t="s">
        <v>22</v>
      </c>
      <c r="C94">
        <f t="shared" si="6"/>
        <v>93</v>
      </c>
      <c r="D94">
        <v>7.7605500000000003</v>
      </c>
      <c r="E94">
        <v>4.97</v>
      </c>
      <c r="F94" s="1">
        <v>121.82963563469075</v>
      </c>
      <c r="G94">
        <v>0.81724069095660923</v>
      </c>
      <c r="H94" s="2">
        <v>1.75</v>
      </c>
      <c r="I94" s="1">
        <v>82.923826937184245</v>
      </c>
      <c r="J94" s="3">
        <v>84.851962209776161</v>
      </c>
      <c r="K94">
        <f t="shared" si="7"/>
        <v>129.59946841891539</v>
      </c>
      <c r="L94">
        <f t="shared" si="8"/>
        <v>111.72873401216603</v>
      </c>
      <c r="M94">
        <v>53.43</v>
      </c>
    </row>
    <row r="95" spans="1:13">
      <c r="A95">
        <f t="shared" si="9"/>
        <v>2020</v>
      </c>
      <c r="B95" t="s">
        <v>23</v>
      </c>
      <c r="C95">
        <f t="shared" si="6"/>
        <v>94</v>
      </c>
      <c r="D95">
        <v>7.7811450000000004</v>
      </c>
      <c r="E95">
        <v>5.34</v>
      </c>
      <c r="F95" s="1">
        <v>125.70014474102258</v>
      </c>
      <c r="G95">
        <v>2.2552699317589742</v>
      </c>
      <c r="H95" s="2">
        <v>1.75</v>
      </c>
      <c r="I95" s="1">
        <v>83.802497512468875</v>
      </c>
      <c r="J95" s="3">
        <v>84.887170492850771</v>
      </c>
      <c r="K95">
        <f t="shared" si="7"/>
        <v>130.97271955406251</v>
      </c>
      <c r="L95">
        <f t="shared" si="8"/>
        <v>111.77509448271053</v>
      </c>
      <c r="M95">
        <v>53.2</v>
      </c>
    </row>
    <row r="96" spans="1:13">
      <c r="A96">
        <f t="shared" si="9"/>
        <v>2020</v>
      </c>
      <c r="B96" t="s">
        <v>24</v>
      </c>
      <c r="C96">
        <f t="shared" si="6"/>
        <v>95</v>
      </c>
      <c r="D96">
        <v>7.7877349999999996</v>
      </c>
      <c r="E96">
        <v>5.46</v>
      </c>
      <c r="F96" s="1">
        <v>128.69462661255801</v>
      </c>
      <c r="G96">
        <v>1.2752748601246253</v>
      </c>
      <c r="H96" s="2">
        <v>1.75</v>
      </c>
      <c r="I96" s="1">
        <v>84.267342591006553</v>
      </c>
      <c r="J96" s="3">
        <v>84.835336076102053</v>
      </c>
      <c r="K96">
        <f t="shared" si="7"/>
        <v>131.69921370297902</v>
      </c>
      <c r="L96">
        <f t="shared" si="8"/>
        <v>111.70684156774226</v>
      </c>
      <c r="M96">
        <v>53.38</v>
      </c>
    </row>
    <row r="97" spans="1:13">
      <c r="A97">
        <f t="shared" si="9"/>
        <v>2020</v>
      </c>
      <c r="B97" t="s">
        <v>25</v>
      </c>
      <c r="C97">
        <f t="shared" si="6"/>
        <v>96</v>
      </c>
      <c r="D97">
        <v>7.799925</v>
      </c>
      <c r="E97">
        <v>4.82</v>
      </c>
      <c r="F97" s="1">
        <v>135.96525756355274</v>
      </c>
      <c r="G97">
        <v>4.05151566127482</v>
      </c>
      <c r="H97" s="2">
        <v>1.75</v>
      </c>
      <c r="I97" s="1">
        <v>84.261673748585352</v>
      </c>
      <c r="J97" s="3">
        <v>84.915206718262013</v>
      </c>
      <c r="K97">
        <f t="shared" si="7"/>
        <v>131.69035401823615</v>
      </c>
      <c r="L97">
        <f t="shared" si="8"/>
        <v>111.81201115369961</v>
      </c>
      <c r="M97">
        <v>54.17</v>
      </c>
    </row>
    <row r="98" spans="1:13">
      <c r="A98">
        <f t="shared" si="9"/>
        <v>2021</v>
      </c>
      <c r="B98" t="s">
        <v>0</v>
      </c>
      <c r="C98">
        <f t="shared" si="6"/>
        <v>97</v>
      </c>
      <c r="D98">
        <v>7.7886850000000001</v>
      </c>
      <c r="E98">
        <v>5.24</v>
      </c>
      <c r="F98" s="1">
        <v>128.84071104335001</v>
      </c>
      <c r="G98">
        <v>1.3468354206584365</v>
      </c>
      <c r="H98" s="2">
        <v>1.75</v>
      </c>
      <c r="I98" s="1">
        <v>84.392057124272753</v>
      </c>
      <c r="J98" s="3">
        <v>85.276417622397688</v>
      </c>
      <c r="K98">
        <f t="shared" si="7"/>
        <v>131.89412676732252</v>
      </c>
      <c r="L98">
        <f t="shared" si="8"/>
        <v>112.28763524039655</v>
      </c>
      <c r="M98">
        <v>54.43</v>
      </c>
    </row>
    <row r="99" spans="1:13">
      <c r="A99">
        <f t="shared" si="9"/>
        <v>2021</v>
      </c>
      <c r="B99" t="s">
        <v>15</v>
      </c>
      <c r="C99">
        <f t="shared" si="6"/>
        <v>98</v>
      </c>
      <c r="D99">
        <v>7.7405949999999999</v>
      </c>
      <c r="E99">
        <v>6</v>
      </c>
      <c r="F99" s="1">
        <v>128.52544443905018</v>
      </c>
      <c r="G99">
        <v>2.3908293945689394</v>
      </c>
      <c r="H99" s="2">
        <v>1.75</v>
      </c>
      <c r="I99" s="1">
        <v>84.658492718068743</v>
      </c>
      <c r="J99" s="3">
        <v>85.743253375757149</v>
      </c>
      <c r="K99">
        <f t="shared" si="7"/>
        <v>132.31053195023807</v>
      </c>
      <c r="L99">
        <f t="shared" si="8"/>
        <v>112.90234073872692</v>
      </c>
      <c r="M99">
        <v>54</v>
      </c>
    </row>
    <row r="100" spans="1:13">
      <c r="A100">
        <f t="shared" si="9"/>
        <v>2021</v>
      </c>
      <c r="B100" t="s">
        <v>16</v>
      </c>
      <c r="C100">
        <f t="shared" si="6"/>
        <v>99</v>
      </c>
      <c r="D100">
        <v>7.7198449999999994</v>
      </c>
      <c r="E100">
        <v>5.84</v>
      </c>
      <c r="F100" s="1">
        <v>132.98335712564764</v>
      </c>
      <c r="G100">
        <v>9.9809551232631577</v>
      </c>
      <c r="H100" s="2">
        <v>1.75</v>
      </c>
      <c r="I100" s="1">
        <v>84.941934839128294</v>
      </c>
      <c r="J100" s="3">
        <v>86.350596258793928</v>
      </c>
      <c r="K100">
        <f t="shared" si="7"/>
        <v>132.7535161873823</v>
      </c>
      <c r="L100">
        <f t="shared" si="8"/>
        <v>113.70205885561897</v>
      </c>
      <c r="M100">
        <v>53.6</v>
      </c>
    </row>
    <row r="101" spans="1:13">
      <c r="A101">
        <f t="shared" si="9"/>
        <v>2021</v>
      </c>
      <c r="B101" t="s">
        <v>17</v>
      </c>
      <c r="C101">
        <f t="shared" si="6"/>
        <v>100</v>
      </c>
      <c r="D101">
        <v>7.7155699999999996</v>
      </c>
      <c r="E101">
        <v>5.2</v>
      </c>
      <c r="F101" s="1">
        <v>129.4117762475548</v>
      </c>
      <c r="G101">
        <v>15.451585372373785</v>
      </c>
      <c r="H101" s="2">
        <v>1.75</v>
      </c>
      <c r="I101" s="1">
        <v>85.032636317867357</v>
      </c>
      <c r="J101" s="3">
        <v>87.060303964843882</v>
      </c>
      <c r="K101">
        <f t="shared" si="7"/>
        <v>132.89527114326845</v>
      </c>
      <c r="L101">
        <f t="shared" si="8"/>
        <v>114.63656574798291</v>
      </c>
      <c r="M101">
        <v>53.97</v>
      </c>
    </row>
    <row r="102" spans="1:13">
      <c r="A102">
        <f t="shared" si="9"/>
        <v>2021</v>
      </c>
      <c r="B102" t="s">
        <v>18</v>
      </c>
      <c r="C102">
        <f t="shared" si="6"/>
        <v>101</v>
      </c>
      <c r="D102">
        <v>7.7134350000000005</v>
      </c>
      <c r="E102">
        <v>5.17</v>
      </c>
      <c r="F102" s="1">
        <v>129.44362545761771</v>
      </c>
      <c r="G102">
        <v>16.650644650611056</v>
      </c>
      <c r="H102" s="2">
        <v>1.75</v>
      </c>
      <c r="I102" s="1">
        <v>85.168688535975946</v>
      </c>
      <c r="J102" s="3">
        <v>87.758275576535638</v>
      </c>
      <c r="K102">
        <f t="shared" si="7"/>
        <v>133.10790357709769</v>
      </c>
      <c r="L102">
        <f t="shared" si="8"/>
        <v>115.55561915016534</v>
      </c>
      <c r="M102">
        <v>54.22</v>
      </c>
    </row>
    <row r="103" spans="1:13">
      <c r="A103">
        <f t="shared" si="9"/>
        <v>2021</v>
      </c>
      <c r="B103" t="s">
        <v>19</v>
      </c>
      <c r="C103">
        <f t="shared" si="6"/>
        <v>102</v>
      </c>
      <c r="D103">
        <v>7.7380049999999994</v>
      </c>
      <c r="E103">
        <v>3.91</v>
      </c>
      <c r="F103" s="1">
        <v>127.13431341006937</v>
      </c>
      <c r="G103">
        <v>14.530150871967365</v>
      </c>
      <c r="H103" s="2">
        <v>1.75</v>
      </c>
      <c r="I103" s="1">
        <v>85.327416123769297</v>
      </c>
      <c r="J103" s="3">
        <v>88.573608131809394</v>
      </c>
      <c r="K103">
        <f t="shared" si="7"/>
        <v>133.35597474989845</v>
      </c>
      <c r="L103">
        <f t="shared" si="8"/>
        <v>116.6292074541627</v>
      </c>
      <c r="M103">
        <v>54.54</v>
      </c>
    </row>
    <row r="104" spans="1:13">
      <c r="A104">
        <f t="shared" si="9"/>
        <v>2021</v>
      </c>
      <c r="B104" t="s">
        <v>20</v>
      </c>
      <c r="C104">
        <f t="shared" si="6"/>
        <v>103</v>
      </c>
      <c r="D104">
        <v>7.7440850000000001</v>
      </c>
      <c r="E104">
        <v>3.82</v>
      </c>
      <c r="F104" s="1">
        <v>130.99580128769199</v>
      </c>
      <c r="G104">
        <v>10.780014679471137</v>
      </c>
      <c r="H104" s="2">
        <v>1.75</v>
      </c>
      <c r="I104" s="1">
        <v>85.610858244828862</v>
      </c>
      <c r="J104" s="3">
        <v>88.999693557536204</v>
      </c>
      <c r="K104">
        <f t="shared" si="7"/>
        <v>133.79895898704268</v>
      </c>
      <c r="L104">
        <f t="shared" si="8"/>
        <v>117.19025500047397</v>
      </c>
      <c r="M104">
        <v>54.46</v>
      </c>
    </row>
    <row r="105" spans="1:13">
      <c r="A105">
        <f t="shared" si="9"/>
        <v>2021</v>
      </c>
      <c r="B105" t="s">
        <v>21</v>
      </c>
      <c r="C105">
        <f t="shared" si="6"/>
        <v>104</v>
      </c>
      <c r="D105">
        <v>7.7363200000000001</v>
      </c>
      <c r="E105">
        <v>3.62</v>
      </c>
      <c r="F105" s="1">
        <v>129.96769859291567</v>
      </c>
      <c r="G105">
        <v>7.7408159371974818</v>
      </c>
      <c r="H105" s="2">
        <v>1.75</v>
      </c>
      <c r="I105" s="1">
        <v>85.786592359885788</v>
      </c>
      <c r="J105" s="3">
        <v>89.183559035814653</v>
      </c>
      <c r="K105">
        <f t="shared" si="7"/>
        <v>134.07360921407212</v>
      </c>
      <c r="L105">
        <f t="shared" si="8"/>
        <v>117.43235967998397</v>
      </c>
      <c r="M105">
        <v>54.36</v>
      </c>
    </row>
    <row r="106" spans="1:13">
      <c r="A106">
        <f t="shared" si="9"/>
        <v>2021</v>
      </c>
      <c r="B106" t="s">
        <v>22</v>
      </c>
      <c r="C106">
        <f t="shared" si="6"/>
        <v>105</v>
      </c>
      <c r="D106">
        <v>7.7310099999999995</v>
      </c>
      <c r="E106">
        <v>3.67</v>
      </c>
      <c r="F106" s="1">
        <v>129.12160551342723</v>
      </c>
      <c r="G106">
        <v>5.9853826540215778</v>
      </c>
      <c r="H106" s="2">
        <v>1.75</v>
      </c>
      <c r="I106" s="1">
        <v>85.967995317363901</v>
      </c>
      <c r="J106" s="3">
        <v>89.425778983263029</v>
      </c>
      <c r="K106">
        <f t="shared" si="7"/>
        <v>134.35711912584441</v>
      </c>
      <c r="L106">
        <f t="shared" si="8"/>
        <v>117.75130254678525</v>
      </c>
      <c r="M106">
        <v>54.4</v>
      </c>
    </row>
    <row r="107" spans="1:13">
      <c r="A107">
        <f t="shared" si="9"/>
        <v>2021</v>
      </c>
      <c r="B107" t="s">
        <v>23</v>
      </c>
      <c r="C107">
        <f t="shared" si="6"/>
        <v>106</v>
      </c>
      <c r="D107">
        <v>7.7310599999999994</v>
      </c>
      <c r="E107">
        <v>2.96</v>
      </c>
      <c r="F107" s="1">
        <v>131.42590163835771</v>
      </c>
      <c r="G107">
        <v>4.5550917297126432</v>
      </c>
      <c r="H107" s="2">
        <v>1.75</v>
      </c>
      <c r="I107" s="1">
        <v>86.279781650529401</v>
      </c>
      <c r="J107" s="3">
        <v>90.168738956661215</v>
      </c>
      <c r="K107">
        <f t="shared" si="7"/>
        <v>134.84440178670306</v>
      </c>
      <c r="L107">
        <f t="shared" si="8"/>
        <v>118.72959432799675</v>
      </c>
      <c r="M107">
        <v>54.39</v>
      </c>
    </row>
    <row r="108" spans="1:13">
      <c r="A108">
        <f t="shared" si="9"/>
        <v>2021</v>
      </c>
      <c r="B108" t="s">
        <v>24</v>
      </c>
      <c r="C108">
        <f t="shared" si="6"/>
        <v>107</v>
      </c>
      <c r="D108">
        <v>7.7299699999999998</v>
      </c>
      <c r="E108">
        <v>2.89</v>
      </c>
      <c r="F108" s="1">
        <v>136.69449678289152</v>
      </c>
      <c r="G108">
        <v>6.2161648709837323</v>
      </c>
      <c r="H108" s="2">
        <v>1.75</v>
      </c>
      <c r="I108" s="1">
        <v>86.699275989697554</v>
      </c>
      <c r="J108" s="3">
        <v>90.611776518683214</v>
      </c>
      <c r="K108">
        <f t="shared" si="7"/>
        <v>135.50001845767653</v>
      </c>
      <c r="L108">
        <f t="shared" si="8"/>
        <v>119.31296358234795</v>
      </c>
      <c r="M108">
        <v>54.31</v>
      </c>
    </row>
    <row r="109" spans="1:13">
      <c r="A109">
        <f t="shared" si="9"/>
        <v>2021</v>
      </c>
      <c r="B109" t="s">
        <v>25</v>
      </c>
      <c r="C109">
        <f t="shared" si="6"/>
        <v>108</v>
      </c>
      <c r="D109">
        <v>7.7240800000000007</v>
      </c>
      <c r="E109">
        <v>3.07</v>
      </c>
      <c r="F109" s="1">
        <v>141.45939719456507</v>
      </c>
      <c r="G109">
        <v>4.0408408217402609</v>
      </c>
      <c r="H109" s="2">
        <v>1.75</v>
      </c>
      <c r="I109" s="1">
        <v>86.846665892648517</v>
      </c>
      <c r="J109" s="3">
        <v>90.890182757069368</v>
      </c>
      <c r="K109">
        <f t="shared" si="7"/>
        <v>135.73037026099149</v>
      </c>
      <c r="L109">
        <f t="shared" si="8"/>
        <v>119.67955471054216</v>
      </c>
      <c r="M109">
        <v>54.3</v>
      </c>
    </row>
    <row r="110" spans="1:13">
      <c r="A110">
        <f t="shared" si="9"/>
        <v>2022</v>
      </c>
      <c r="B110" t="s">
        <v>0</v>
      </c>
      <c r="C110">
        <f t="shared" si="6"/>
        <v>109</v>
      </c>
      <c r="D110">
        <v>7.6984750000000002</v>
      </c>
      <c r="E110">
        <v>2.87</v>
      </c>
      <c r="F110" s="1">
        <v>134.83032107210994</v>
      </c>
      <c r="G110">
        <v>4.6488489393268395</v>
      </c>
      <c r="H110" s="2">
        <v>1.75</v>
      </c>
      <c r="I110" s="1">
        <v>86.812652838121366</v>
      </c>
      <c r="J110" s="3">
        <v>91.654984906078667</v>
      </c>
      <c r="K110">
        <f t="shared" si="7"/>
        <v>135.6772121525342</v>
      </c>
      <c r="L110">
        <f t="shared" si="8"/>
        <v>120.6866071540359</v>
      </c>
      <c r="M110">
        <v>54.87</v>
      </c>
    </row>
    <row r="111" spans="1:13">
      <c r="A111">
        <f t="shared" si="9"/>
        <v>2022</v>
      </c>
      <c r="B111" t="s">
        <v>15</v>
      </c>
      <c r="C111">
        <f t="shared" si="6"/>
        <v>110</v>
      </c>
      <c r="D111">
        <v>7.6992050000000001</v>
      </c>
      <c r="E111">
        <v>2.98</v>
      </c>
      <c r="F111" s="1">
        <v>134.25797829654607</v>
      </c>
      <c r="G111">
        <v>4.460232666391903</v>
      </c>
      <c r="H111" s="2">
        <v>1.75</v>
      </c>
      <c r="I111" s="1">
        <v>87.181127595498793</v>
      </c>
      <c r="J111" s="3">
        <v>92.492159636963493</v>
      </c>
      <c r="K111">
        <f t="shared" si="7"/>
        <v>136.2530916608217</v>
      </c>
      <c r="L111">
        <f t="shared" si="8"/>
        <v>121.78895612031543</v>
      </c>
      <c r="M111">
        <v>55.1</v>
      </c>
    </row>
    <row r="112" spans="1:13">
      <c r="A112">
        <f t="shared" si="9"/>
        <v>2022</v>
      </c>
      <c r="B112" t="s">
        <v>16</v>
      </c>
      <c r="C112">
        <f t="shared" si="6"/>
        <v>111</v>
      </c>
      <c r="D112">
        <v>7.6912250000000002</v>
      </c>
      <c r="E112">
        <v>4.17</v>
      </c>
      <c r="F112" s="1">
        <v>139.0554063798173</v>
      </c>
      <c r="G112">
        <v>4.5660219334307897</v>
      </c>
      <c r="H112" s="2">
        <v>1.75</v>
      </c>
      <c r="I112" s="1">
        <v>88.484961352372778</v>
      </c>
      <c r="J112" s="3">
        <v>93.727057565542836</v>
      </c>
      <c r="K112">
        <f t="shared" si="7"/>
        <v>138.29081915168518</v>
      </c>
      <c r="L112">
        <f t="shared" si="8"/>
        <v>123.41500669830101</v>
      </c>
      <c r="M112">
        <v>54.65</v>
      </c>
    </row>
    <row r="113" spans="1:13">
      <c r="A113">
        <f t="shared" si="9"/>
        <v>2022</v>
      </c>
      <c r="B113" t="s">
        <v>17</v>
      </c>
      <c r="C113">
        <f t="shared" si="6"/>
        <v>112</v>
      </c>
      <c r="D113">
        <v>7.6608649999999994</v>
      </c>
      <c r="E113">
        <v>4.62</v>
      </c>
      <c r="F113" s="1">
        <v>135.76863746329775</v>
      </c>
      <c r="G113">
        <v>4.9121195922562322</v>
      </c>
      <c r="H113" s="2">
        <v>1.75</v>
      </c>
      <c r="I113" s="1">
        <v>88.96114411575283</v>
      </c>
      <c r="J113" s="3">
        <v>94.250291772345847</v>
      </c>
      <c r="K113">
        <f t="shared" si="7"/>
        <v>139.03503267008745</v>
      </c>
      <c r="L113">
        <f t="shared" si="8"/>
        <v>124.10397480222572</v>
      </c>
      <c r="M113">
        <v>54.44</v>
      </c>
    </row>
    <row r="114" spans="1:13">
      <c r="A114">
        <f t="shared" si="9"/>
        <v>2022</v>
      </c>
      <c r="B114" t="s">
        <v>18</v>
      </c>
      <c r="C114">
        <f t="shared" si="6"/>
        <v>113</v>
      </c>
      <c r="D114">
        <v>7.6705550000000002</v>
      </c>
      <c r="E114">
        <v>5.82</v>
      </c>
      <c r="F114" s="1">
        <v>136.11217742837388</v>
      </c>
      <c r="G114">
        <v>5.1517036448732512</v>
      </c>
      <c r="H114" s="2">
        <v>2</v>
      </c>
      <c r="I114" s="1">
        <v>90.123256812097011</v>
      </c>
      <c r="J114" s="3">
        <v>95.289262125667491</v>
      </c>
      <c r="K114">
        <f t="shared" si="7"/>
        <v>140.85126804237879</v>
      </c>
      <c r="L114">
        <f t="shared" si="8"/>
        <v>125.47203794690364</v>
      </c>
      <c r="M114">
        <v>53.61</v>
      </c>
    </row>
    <row r="115" spans="1:13">
      <c r="A115">
        <f t="shared" si="9"/>
        <v>2022</v>
      </c>
      <c r="B115" t="s">
        <v>19</v>
      </c>
      <c r="C115">
        <f t="shared" si="6"/>
        <v>114</v>
      </c>
      <c r="D115">
        <v>7.7378200000000001</v>
      </c>
      <c r="E115">
        <v>7.55</v>
      </c>
      <c r="F115" s="1">
        <v>132.56306676724759</v>
      </c>
      <c r="G115">
        <v>4.2700929525358617</v>
      </c>
      <c r="H115" s="2">
        <v>2.25</v>
      </c>
      <c r="I115" s="1">
        <v>91.772889956663633</v>
      </c>
      <c r="J115" s="3">
        <v>96.598162649227703</v>
      </c>
      <c r="K115">
        <f t="shared" si="7"/>
        <v>143.42943630255817</v>
      </c>
      <c r="L115">
        <f t="shared" si="8"/>
        <v>127.19553136575585</v>
      </c>
      <c r="M115">
        <v>53.57</v>
      </c>
    </row>
    <row r="116" spans="1:13">
      <c r="A116">
        <f t="shared" si="9"/>
        <v>2022</v>
      </c>
      <c r="B116" t="s">
        <v>20</v>
      </c>
      <c r="C116">
        <f t="shared" si="6"/>
        <v>115</v>
      </c>
      <c r="D116">
        <v>7.7351650000000003</v>
      </c>
      <c r="E116">
        <v>8.36</v>
      </c>
      <c r="F116" s="1">
        <v>135.54303483843631</v>
      </c>
      <c r="G116">
        <v>3.4712819083092086</v>
      </c>
      <c r="H116" s="2">
        <v>2.25</v>
      </c>
      <c r="I116" s="1">
        <v>92.764937380372089</v>
      </c>
      <c r="J116" s="3">
        <v>96.58675255749057</v>
      </c>
      <c r="K116">
        <f t="shared" si="7"/>
        <v>144.97988113256298</v>
      </c>
      <c r="L116">
        <f t="shared" si="8"/>
        <v>127.18050713919051</v>
      </c>
      <c r="M116">
        <v>52.64</v>
      </c>
    </row>
    <row r="117" spans="1:13">
      <c r="A117">
        <f t="shared" si="9"/>
        <v>2022</v>
      </c>
      <c r="B117" t="s">
        <v>21</v>
      </c>
      <c r="C117">
        <f t="shared" si="6"/>
        <v>116</v>
      </c>
      <c r="D117">
        <v>7.7302999999999997</v>
      </c>
      <c r="E117">
        <v>8.8699999999999992</v>
      </c>
      <c r="F117" s="1">
        <v>136.03600960826282</v>
      </c>
      <c r="G117">
        <v>4.6690916905086368</v>
      </c>
      <c r="H117" s="2">
        <v>2.75</v>
      </c>
      <c r="I117" s="1">
        <v>93.399847731545492</v>
      </c>
      <c r="J117" s="3">
        <v>96.552522282279156</v>
      </c>
      <c r="K117">
        <f t="shared" si="7"/>
        <v>145.97216582376603</v>
      </c>
      <c r="L117">
        <f t="shared" si="8"/>
        <v>127.13543445949452</v>
      </c>
      <c r="M117">
        <v>52.5</v>
      </c>
    </row>
    <row r="118" spans="1:13">
      <c r="A118">
        <f t="shared" si="9"/>
        <v>2022</v>
      </c>
      <c r="B118" t="s">
        <v>22</v>
      </c>
      <c r="C118">
        <f t="shared" si="6"/>
        <v>117</v>
      </c>
      <c r="D118">
        <v>7.8143600000000006</v>
      </c>
      <c r="E118">
        <v>9.0299999999999994</v>
      </c>
      <c r="F118" s="1">
        <v>134.05927352722259</v>
      </c>
      <c r="G118">
        <v>3.8240447786888012</v>
      </c>
      <c r="H118" s="2">
        <v>3</v>
      </c>
      <c r="I118" s="1">
        <v>93.734309434395783</v>
      </c>
      <c r="J118" s="3">
        <v>96.760185951895053</v>
      </c>
      <c r="K118">
        <f t="shared" si="7"/>
        <v>146.49488722359627</v>
      </c>
      <c r="L118">
        <f t="shared" si="8"/>
        <v>127.40887538298362</v>
      </c>
      <c r="M118">
        <v>52.66</v>
      </c>
    </row>
    <row r="119" spans="1:13">
      <c r="A119">
        <f t="shared" si="9"/>
        <v>2022</v>
      </c>
      <c r="B119" t="s">
        <v>23</v>
      </c>
      <c r="C119">
        <f t="shared" si="6"/>
        <v>118</v>
      </c>
      <c r="D119">
        <v>7.8593449999999994</v>
      </c>
      <c r="E119">
        <v>9.6999999999999993</v>
      </c>
      <c r="F119" s="1">
        <v>136.29124362253654</v>
      </c>
      <c r="G119">
        <v>3.7019658404678069</v>
      </c>
      <c r="H119" s="2">
        <v>3</v>
      </c>
      <c r="I119" s="1">
        <v>94.652661906628751</v>
      </c>
      <c r="J119" s="3">
        <v>97.152693107652595</v>
      </c>
      <c r="K119">
        <f t="shared" si="7"/>
        <v>147.93015615194355</v>
      </c>
      <c r="L119">
        <f t="shared" si="8"/>
        <v>127.9257087768312</v>
      </c>
      <c r="M119">
        <v>52.5</v>
      </c>
    </row>
    <row r="120" spans="1:13">
      <c r="A120">
        <f t="shared" si="9"/>
        <v>2022</v>
      </c>
      <c r="B120" t="s">
        <v>24</v>
      </c>
      <c r="C120">
        <f t="shared" si="6"/>
        <v>119</v>
      </c>
      <c r="D120">
        <v>7.8128600000000006</v>
      </c>
      <c r="E120">
        <v>9.17</v>
      </c>
      <c r="F120" s="1">
        <v>141.23827542523969</v>
      </c>
      <c r="G120">
        <v>3.3240391890574301</v>
      </c>
      <c r="H120" s="2">
        <v>3</v>
      </c>
      <c r="I120" s="1">
        <v>94.646993064207564</v>
      </c>
      <c r="J120" s="3">
        <v>97.054566318713213</v>
      </c>
      <c r="K120">
        <f t="shared" si="7"/>
        <v>147.9212964672007</v>
      </c>
      <c r="L120">
        <f t="shared" si="8"/>
        <v>127.79650042836931</v>
      </c>
      <c r="M120">
        <v>52.77</v>
      </c>
    </row>
    <row r="121" spans="1:13">
      <c r="A121">
        <f t="shared" si="9"/>
        <v>2022</v>
      </c>
      <c r="B121" t="s">
        <v>25</v>
      </c>
      <c r="C121">
        <f t="shared" si="6"/>
        <v>120</v>
      </c>
      <c r="D121">
        <v>7.8699449999999995</v>
      </c>
      <c r="E121">
        <v>9.24</v>
      </c>
      <c r="F121" s="1">
        <v>146.19688177488749</v>
      </c>
      <c r="G121">
        <v>3.3490066225903945</v>
      </c>
      <c r="H121" s="2">
        <v>3.75</v>
      </c>
      <c r="I121" s="1">
        <v>94.868077918634015</v>
      </c>
      <c r="J121" s="3">
        <v>96.756599923063405</v>
      </c>
      <c r="K121">
        <f t="shared" si="7"/>
        <v>148.26682417217319</v>
      </c>
      <c r="L121">
        <f t="shared" si="8"/>
        <v>127.40415348320597</v>
      </c>
      <c r="M121">
        <v>53.56</v>
      </c>
    </row>
    <row r="122" spans="1:13">
      <c r="A122">
        <f t="shared" si="9"/>
        <v>2023</v>
      </c>
      <c r="B122" t="s">
        <v>0</v>
      </c>
      <c r="C122">
        <f t="shared" si="6"/>
        <v>121</v>
      </c>
      <c r="D122">
        <v>7.8458749999999995</v>
      </c>
      <c r="E122">
        <v>9.69</v>
      </c>
      <c r="F122" s="1">
        <v>139.37365068778635</v>
      </c>
      <c r="G122">
        <v>3.3696646121954501</v>
      </c>
      <c r="H122" s="2">
        <v>4.25</v>
      </c>
      <c r="I122" s="1">
        <v>95.225214991169054</v>
      </c>
      <c r="J122" s="3">
        <v>97.530204142841313</v>
      </c>
      <c r="K122">
        <f t="shared" si="7"/>
        <v>148.82498431097488</v>
      </c>
      <c r="L122">
        <f t="shared" si="8"/>
        <v>128.42279604433577</v>
      </c>
      <c r="M122">
        <v>54.11</v>
      </c>
    </row>
    <row r="123" spans="1:13">
      <c r="A123">
        <f t="shared" si="9"/>
        <v>2023</v>
      </c>
      <c r="B123" t="s">
        <v>15</v>
      </c>
      <c r="C123">
        <f t="shared" si="6"/>
        <v>122</v>
      </c>
      <c r="D123">
        <v>7.82775</v>
      </c>
      <c r="E123">
        <v>9.92</v>
      </c>
      <c r="F123" s="1">
        <v>140.67239895257183</v>
      </c>
      <c r="G123">
        <v>4.7776830378435449</v>
      </c>
      <c r="H123" s="2">
        <v>4.5</v>
      </c>
      <c r="I123" s="1">
        <v>95.831781130236521</v>
      </c>
      <c r="J123" s="3">
        <v>98.074628520013292</v>
      </c>
      <c r="K123">
        <f t="shared" si="7"/>
        <v>149.77297057846357</v>
      </c>
      <c r="L123">
        <f t="shared" si="8"/>
        <v>129.13966628331039</v>
      </c>
      <c r="M123">
        <v>53.9</v>
      </c>
    </row>
    <row r="124" spans="1:13">
      <c r="A124">
        <f t="shared" si="9"/>
        <v>2023</v>
      </c>
      <c r="B124" t="s">
        <v>16</v>
      </c>
      <c r="C124">
        <f t="shared" si="6"/>
        <v>123</v>
      </c>
      <c r="D124">
        <v>7.8025400000000005</v>
      </c>
      <c r="E124">
        <v>8.7100000000000009</v>
      </c>
      <c r="F124" s="1">
        <v>144.68618446566984</v>
      </c>
      <c r="G124">
        <v>4.049305404546871</v>
      </c>
      <c r="H124" s="2">
        <v>4.75</v>
      </c>
      <c r="I124" s="1">
        <v>96.194587045192748</v>
      </c>
      <c r="J124" s="3">
        <v>98.399327130590137</v>
      </c>
      <c r="K124">
        <f t="shared" si="7"/>
        <v>150.33999040200817</v>
      </c>
      <c r="L124">
        <f t="shared" si="8"/>
        <v>129.56721284499827</v>
      </c>
      <c r="M124">
        <v>53.66</v>
      </c>
    </row>
    <row r="125" spans="1:13">
      <c r="A125">
        <f t="shared" si="9"/>
        <v>2023</v>
      </c>
      <c r="B125" t="s">
        <v>17</v>
      </c>
      <c r="C125">
        <f t="shared" si="6"/>
        <v>124</v>
      </c>
      <c r="D125">
        <v>7.7987299999999999</v>
      </c>
      <c r="E125">
        <v>8.32</v>
      </c>
      <c r="F125" s="1">
        <v>140.52739881558</v>
      </c>
      <c r="G125">
        <v>3.5050520069987954</v>
      </c>
      <c r="H125" s="2">
        <v>5</v>
      </c>
      <c r="I125" s="1">
        <v>96.358983475407285</v>
      </c>
      <c r="J125" s="3">
        <v>98.897133132950387</v>
      </c>
      <c r="K125">
        <f t="shared" si="7"/>
        <v>150.59692125955181</v>
      </c>
      <c r="L125">
        <f t="shared" si="8"/>
        <v>130.2226983868631</v>
      </c>
      <c r="M125">
        <v>54.01</v>
      </c>
    </row>
    <row r="126" spans="1:13">
      <c r="A126">
        <f t="shared" si="9"/>
        <v>2023</v>
      </c>
      <c r="B126" t="s">
        <v>18</v>
      </c>
      <c r="C126">
        <f t="shared" si="6"/>
        <v>125</v>
      </c>
      <c r="D126">
        <v>7.8093149999999998</v>
      </c>
      <c r="E126">
        <v>6.54</v>
      </c>
      <c r="F126" s="1">
        <v>141.50957678501507</v>
      </c>
      <c r="G126">
        <v>3.9654051963730126</v>
      </c>
      <c r="H126" s="2">
        <v>5</v>
      </c>
      <c r="I126" s="1">
        <v>96.013184087714635</v>
      </c>
      <c r="J126" s="3">
        <v>99.146199135441051</v>
      </c>
      <c r="K126">
        <f t="shared" si="7"/>
        <v>150.05648049023586</v>
      </c>
      <c r="L126">
        <f t="shared" si="8"/>
        <v>130.55065578960358</v>
      </c>
      <c r="M126">
        <v>54.23</v>
      </c>
    </row>
    <row r="127" spans="1:13">
      <c r="A127">
        <f t="shared" si="9"/>
        <v>2023</v>
      </c>
      <c r="B127" t="s">
        <v>19</v>
      </c>
      <c r="C127">
        <f t="shared" si="6"/>
        <v>126</v>
      </c>
      <c r="D127">
        <v>7.8374799999999993</v>
      </c>
      <c r="E127">
        <v>4.93</v>
      </c>
      <c r="F127" s="1">
        <v>139.48641518727348</v>
      </c>
      <c r="G127">
        <v>5.2226827493224874</v>
      </c>
      <c r="H127" s="2">
        <v>5</v>
      </c>
      <c r="I127" s="1">
        <v>96.296626208774185</v>
      </c>
      <c r="J127" s="3">
        <v>99.466333709323024</v>
      </c>
      <c r="K127">
        <f t="shared" si="7"/>
        <v>150.49946472738009</v>
      </c>
      <c r="L127">
        <f t="shared" si="8"/>
        <v>130.97219266066531</v>
      </c>
      <c r="M127">
        <v>54.42</v>
      </c>
    </row>
    <row r="128" spans="1:13">
      <c r="A128">
        <f t="shared" si="9"/>
        <v>2023</v>
      </c>
      <c r="B128" t="s">
        <v>20</v>
      </c>
      <c r="C128">
        <f t="shared" si="6"/>
        <v>127</v>
      </c>
      <c r="D128">
        <v>7.8501799999999999</v>
      </c>
      <c r="E128">
        <v>4.53</v>
      </c>
      <c r="F128" s="1">
        <v>142.44994089611902</v>
      </c>
      <c r="G128">
        <v>5.0957292389945081</v>
      </c>
      <c r="H128" s="2">
        <v>5</v>
      </c>
      <c r="I128" s="1">
        <v>96.971218456895926</v>
      </c>
      <c r="J128" s="3">
        <v>99.656067234780565</v>
      </c>
      <c r="K128">
        <f t="shared" si="7"/>
        <v>151.55376721178334</v>
      </c>
      <c r="L128">
        <f t="shared" si="8"/>
        <v>131.22202408526604</v>
      </c>
      <c r="M128">
        <v>54.45</v>
      </c>
    </row>
    <row r="129" spans="1:13">
      <c r="A129">
        <f t="shared" si="9"/>
        <v>2023</v>
      </c>
      <c r="B129" t="s">
        <v>21</v>
      </c>
      <c r="C129">
        <f t="shared" si="6"/>
        <v>128</v>
      </c>
      <c r="D129">
        <v>7.8577500000000002</v>
      </c>
      <c r="E129">
        <v>4.47</v>
      </c>
      <c r="F129" s="1">
        <v>140.97441856274128</v>
      </c>
      <c r="G129">
        <v>3.6302218572122058</v>
      </c>
      <c r="H129" s="2">
        <v>5</v>
      </c>
      <c r="I129" s="1">
        <v>97.577784595963379</v>
      </c>
      <c r="J129" s="3">
        <v>100.09128073389711</v>
      </c>
      <c r="K129">
        <f t="shared" si="7"/>
        <v>152.50175347927197</v>
      </c>
      <c r="L129">
        <f t="shared" si="8"/>
        <v>131.79509101282963</v>
      </c>
      <c r="M129">
        <v>54.2</v>
      </c>
    </row>
    <row r="130" spans="1:13">
      <c r="A130">
        <f t="shared" si="9"/>
        <v>2023</v>
      </c>
      <c r="B130" t="s">
        <v>22</v>
      </c>
      <c r="C130">
        <f t="shared" si="6"/>
        <v>129</v>
      </c>
      <c r="D130">
        <v>7.8654799999999998</v>
      </c>
      <c r="E130">
        <v>4.6900000000000004</v>
      </c>
      <c r="F130" s="1">
        <v>138.68315444001541</v>
      </c>
      <c r="G130">
        <v>3.4491317095298797</v>
      </c>
      <c r="H130" s="2">
        <v>5</v>
      </c>
      <c r="I130" s="1">
        <v>98.12766231081892</v>
      </c>
      <c r="J130" s="3">
        <v>100.34002073376669</v>
      </c>
      <c r="K130">
        <f t="shared" si="7"/>
        <v>153.36114289933178</v>
      </c>
      <c r="L130">
        <f t="shared" si="8"/>
        <v>132.12261915195393</v>
      </c>
      <c r="M130">
        <v>53.88</v>
      </c>
    </row>
    <row r="131" spans="1:13">
      <c r="A131">
        <f t="shared" si="9"/>
        <v>2023</v>
      </c>
      <c r="B131" t="s">
        <v>23</v>
      </c>
      <c r="C131">
        <f t="shared" si="6"/>
        <v>130</v>
      </c>
      <c r="D131">
        <v>7.83941</v>
      </c>
      <c r="E131">
        <v>4.9800000000000004</v>
      </c>
      <c r="F131" s="1">
        <v>137.91188969636215</v>
      </c>
      <c r="G131">
        <v>1.1891050596867672</v>
      </c>
      <c r="H131" s="2">
        <v>5</v>
      </c>
      <c r="I131" s="1">
        <v>99.36913880105979</v>
      </c>
      <c r="J131" s="3">
        <v>100.3015524244815</v>
      </c>
      <c r="K131">
        <f t="shared" si="7"/>
        <v>155.30141385802352</v>
      </c>
      <c r="L131">
        <f t="shared" si="8"/>
        <v>132.07196604524796</v>
      </c>
      <c r="M131">
        <v>52.74</v>
      </c>
    </row>
    <row r="132" spans="1:13">
      <c r="A132">
        <f t="shared" si="9"/>
        <v>2023</v>
      </c>
      <c r="B132" t="s">
        <v>24</v>
      </c>
      <c r="C132">
        <f t="shared" ref="C132:C155" si="10">C131+1</f>
        <v>131</v>
      </c>
      <c r="D132">
        <v>7.8259399999999992</v>
      </c>
      <c r="E132">
        <v>4.3</v>
      </c>
      <c r="F132" s="1">
        <v>144.51037721125275</v>
      </c>
      <c r="G132">
        <v>2.3167245395495257</v>
      </c>
      <c r="H132" s="2">
        <v>5</v>
      </c>
      <c r="I132" s="1">
        <v>98.717221922622798</v>
      </c>
      <c r="J132" s="3">
        <v>100.09943079942363</v>
      </c>
      <c r="K132">
        <f t="shared" si="7"/>
        <v>154.28255011259176</v>
      </c>
      <c r="L132">
        <f t="shared" si="8"/>
        <v>131.80582260323342</v>
      </c>
      <c r="M132">
        <v>53.45</v>
      </c>
    </row>
    <row r="133" spans="1:13">
      <c r="A133">
        <f t="shared" si="9"/>
        <v>2023</v>
      </c>
      <c r="B133" t="s">
        <v>25</v>
      </c>
      <c r="C133">
        <f t="shared" si="10"/>
        <v>132</v>
      </c>
      <c r="D133">
        <v>7.8319749999999999</v>
      </c>
      <c r="E133">
        <v>4.18</v>
      </c>
      <c r="F133" s="1">
        <v>149.17966188027734</v>
      </c>
      <c r="G133">
        <v>2.0402487858685703</v>
      </c>
      <c r="H133" s="2">
        <v>5</v>
      </c>
      <c r="I133" s="1">
        <v>98.830598771046624</v>
      </c>
      <c r="J133" s="3">
        <v>100</v>
      </c>
      <c r="K133">
        <f t="shared" si="7"/>
        <v>154.45974380744946</v>
      </c>
      <c r="L133">
        <f t="shared" si="8"/>
        <v>131.67489720030693</v>
      </c>
      <c r="M133">
        <v>53.75</v>
      </c>
    </row>
    <row r="134" spans="1:13">
      <c r="A134">
        <f t="shared" si="9"/>
        <v>2024</v>
      </c>
      <c r="B134" t="s">
        <v>0</v>
      </c>
      <c r="C134">
        <f t="shared" si="10"/>
        <v>133</v>
      </c>
      <c r="D134">
        <v>7.8168800000000003</v>
      </c>
      <c r="E134">
        <v>3.82</v>
      </c>
      <c r="F134" s="1">
        <v>144.68432588500156</v>
      </c>
      <c r="G134">
        <v>3.8103868062635087</v>
      </c>
      <c r="H134" s="2">
        <v>5</v>
      </c>
      <c r="I134" s="1">
        <v>98.856695978958101</v>
      </c>
      <c r="J134" s="3">
        <v>100.54475037979304</v>
      </c>
      <c r="K134">
        <f t="shared" si="7"/>
        <v>154.50053044739926</v>
      </c>
      <c r="L134">
        <f t="shared" si="8"/>
        <v>132.39219670289768</v>
      </c>
      <c r="M134">
        <v>53.87</v>
      </c>
    </row>
    <row r="135" spans="1:13">
      <c r="A135">
        <f t="shared" si="9"/>
        <v>2024</v>
      </c>
      <c r="B135" t="s">
        <v>15</v>
      </c>
      <c r="C135">
        <f t="shared" si="10"/>
        <v>134</v>
      </c>
      <c r="D135">
        <v>7.81053</v>
      </c>
      <c r="E135">
        <v>3.3</v>
      </c>
      <c r="F135" s="1">
        <v>144.49611203764277</v>
      </c>
      <c r="G135">
        <v>2.7181686766855506</v>
      </c>
      <c r="H135" s="2">
        <v>5</v>
      </c>
      <c r="I135" s="1">
        <v>98.994617044461066</v>
      </c>
      <c r="J135" s="3">
        <v>101.16708938339866</v>
      </c>
      <c r="K135">
        <f t="shared" si="7"/>
        <v>154.71608365367487</v>
      </c>
      <c r="L135">
        <f t="shared" si="8"/>
        <v>133.21166094613278</v>
      </c>
      <c r="M135">
        <v>53.86</v>
      </c>
    </row>
    <row r="136" spans="1:13">
      <c r="A136">
        <f t="shared" si="9"/>
        <v>2024</v>
      </c>
      <c r="B136" t="s">
        <v>16</v>
      </c>
      <c r="C136">
        <f t="shared" si="10"/>
        <v>135</v>
      </c>
      <c r="D136">
        <v>7.8010649999999995</v>
      </c>
      <c r="E136">
        <v>3.24</v>
      </c>
      <c r="F136" s="1">
        <v>147.77952564598382</v>
      </c>
      <c r="G136">
        <v>2.1379658270330282</v>
      </c>
      <c r="H136" s="2">
        <v>5</v>
      </c>
      <c r="I136" s="1">
        <v>99.300106378486333</v>
      </c>
      <c r="J136" s="3">
        <v>101.82105064124717</v>
      </c>
      <c r="K136">
        <f t="shared" si="7"/>
        <v>155.19352490017346</v>
      </c>
      <c r="L136">
        <f t="shared" si="8"/>
        <v>134.07276376013465</v>
      </c>
      <c r="M136">
        <v>53.88</v>
      </c>
    </row>
    <row r="137" spans="1:13">
      <c r="A137">
        <f t="shared" si="9"/>
        <v>2024</v>
      </c>
      <c r="B137" t="s">
        <v>17</v>
      </c>
      <c r="C137">
        <f t="shared" si="10"/>
        <v>136</v>
      </c>
      <c r="D137">
        <v>7.7777449999999995</v>
      </c>
      <c r="E137">
        <v>3.36</v>
      </c>
      <c r="F137" s="1">
        <v>146.35436469354295</v>
      </c>
      <c r="G137">
        <v>4.1464980687573245</v>
      </c>
      <c r="H137" s="2">
        <v>5</v>
      </c>
      <c r="I137" s="1">
        <v>99.594133215471629</v>
      </c>
      <c r="J137" s="3">
        <v>102.21746982845742</v>
      </c>
      <c r="K137">
        <f t="shared" si="7"/>
        <v>155.65305171148495</v>
      </c>
      <c r="L137">
        <f t="shared" si="8"/>
        <v>134.59474831737606</v>
      </c>
      <c r="M137">
        <v>53.63</v>
      </c>
    </row>
    <row r="138" spans="1:13">
      <c r="A138">
        <f t="shared" si="9"/>
        <v>2024</v>
      </c>
      <c r="B138" t="s">
        <v>18</v>
      </c>
      <c r="C138">
        <f t="shared" si="10"/>
        <v>137</v>
      </c>
      <c r="D138">
        <v>7.76593</v>
      </c>
      <c r="E138">
        <v>3.76</v>
      </c>
      <c r="F138" s="1">
        <v>147.88225622893569</v>
      </c>
      <c r="G138">
        <v>4.5033555952203415</v>
      </c>
      <c r="H138" s="2">
        <v>5</v>
      </c>
      <c r="I138" s="1">
        <v>99.622504993395722</v>
      </c>
      <c r="J138" s="3">
        <v>102.38731719403025</v>
      </c>
      <c r="K138">
        <f t="shared" si="7"/>
        <v>155.69739321709162</v>
      </c>
      <c r="L138">
        <f t="shared" si="8"/>
        <v>134.81839466139149</v>
      </c>
      <c r="M138">
        <v>53.56</v>
      </c>
    </row>
    <row r="139" spans="1:13">
      <c r="A139">
        <f t="shared" si="9"/>
        <v>2024</v>
      </c>
      <c r="B139" t="s">
        <v>19</v>
      </c>
      <c r="C139">
        <f t="shared" si="10"/>
        <v>138</v>
      </c>
      <c r="D139">
        <v>7.76396</v>
      </c>
      <c r="E139">
        <v>3.62</v>
      </c>
      <c r="F139" s="1">
        <v>143.02443903395357</v>
      </c>
      <c r="G139">
        <v>2.536464817688497</v>
      </c>
      <c r="H139" s="2">
        <v>5</v>
      </c>
      <c r="I139" s="1">
        <v>99.781554698869542</v>
      </c>
      <c r="J139" s="3">
        <v>102.42187347186272</v>
      </c>
      <c r="K139">
        <f t="shared" si="7"/>
        <v>155.94596781914427</v>
      </c>
      <c r="L139">
        <f t="shared" si="8"/>
        <v>134.86389660470365</v>
      </c>
      <c r="M139">
        <v>52.85</v>
      </c>
    </row>
    <row r="140" spans="1:13">
      <c r="A140">
        <f t="shared" si="9"/>
        <v>2024</v>
      </c>
      <c r="B140" t="s">
        <v>20</v>
      </c>
      <c r="C140">
        <f t="shared" si="10"/>
        <v>139</v>
      </c>
      <c r="D140">
        <v>7.7531049999999997</v>
      </c>
      <c r="E140">
        <v>3.78</v>
      </c>
      <c r="F140" s="1">
        <v>146.38449961562441</v>
      </c>
      <c r="G140">
        <v>2.7620641291628374</v>
      </c>
      <c r="H140" s="2">
        <v>5</v>
      </c>
      <c r="I140" s="1">
        <v>100.63825983786846</v>
      </c>
      <c r="J140" s="3">
        <v>102.54086442855002</v>
      </c>
      <c r="K140">
        <f t="shared" si="7"/>
        <v>157.28488975155963</v>
      </c>
      <c r="L140">
        <f t="shared" si="8"/>
        <v>135.02057782459934</v>
      </c>
      <c r="M140">
        <v>52.48</v>
      </c>
    </row>
    <row r="141" spans="1:13">
      <c r="A141">
        <f t="shared" si="9"/>
        <v>2024</v>
      </c>
      <c r="B141" t="s">
        <v>21</v>
      </c>
      <c r="C141">
        <f t="shared" si="10"/>
        <v>140</v>
      </c>
      <c r="D141">
        <v>7.7354249999999993</v>
      </c>
      <c r="E141">
        <v>3.07</v>
      </c>
      <c r="F141" s="1">
        <v>146.26018964286416</v>
      </c>
      <c r="G141">
        <v>3.7494540740172795</v>
      </c>
      <c r="H141" s="2">
        <v>5</v>
      </c>
      <c r="I141" s="1">
        <v>100.57554338568218</v>
      </c>
      <c r="J141" s="3">
        <v>102.62432109954165</v>
      </c>
      <c r="K141">
        <f t="shared" si="7"/>
        <v>157.18687185773257</v>
      </c>
      <c r="L141">
        <f t="shared" si="8"/>
        <v>135.13046931033435</v>
      </c>
      <c r="M141">
        <v>52.46</v>
      </c>
    </row>
    <row r="142" spans="1:13">
      <c r="A142">
        <f t="shared" si="9"/>
        <v>2024</v>
      </c>
      <c r="B142" t="s">
        <v>22</v>
      </c>
      <c r="C142">
        <f t="shared" si="10"/>
        <v>141</v>
      </c>
      <c r="D142">
        <v>7.7293850000000006</v>
      </c>
      <c r="E142">
        <v>2.11</v>
      </c>
      <c r="F142" s="1">
        <v>144.29621932004812</v>
      </c>
      <c r="G142">
        <v>4.0474020818876966</v>
      </c>
      <c r="H142" s="2">
        <v>4.75</v>
      </c>
      <c r="I142" s="1">
        <v>100.19631450645714</v>
      </c>
      <c r="J142" s="3">
        <v>102.78895242317748</v>
      </c>
      <c r="K142">
        <f t="shared" ref="K142:K154" si="11">I142/AVERAGE($I$2:$I$13)*100</f>
        <v>156.5941850152175</v>
      </c>
      <c r="L142">
        <f t="shared" ref="L142:L154" si="12">J142/AVERAGE($J$2:$J$13)*100</f>
        <v>135.3472474364913</v>
      </c>
      <c r="M142">
        <v>52.55</v>
      </c>
    </row>
    <row r="143" spans="1:13">
      <c r="A143">
        <f t="shared" ref="A143:A155" si="13">A131+1</f>
        <v>2024</v>
      </c>
      <c r="B143" t="s">
        <v>23</v>
      </c>
      <c r="C143">
        <f t="shared" si="10"/>
        <v>142</v>
      </c>
      <c r="D143">
        <v>7.73</v>
      </c>
      <c r="E143">
        <v>1.1599999999999999</v>
      </c>
      <c r="F143" s="1">
        <v>147.30745079796267</v>
      </c>
      <c r="G143">
        <v>6.8127274031894842</v>
      </c>
      <c r="H143" s="2">
        <v>4.75</v>
      </c>
      <c r="I143" s="1">
        <v>100.52599686060988</v>
      </c>
      <c r="J143" s="3">
        <v>102.90729137462264</v>
      </c>
      <c r="K143">
        <f t="shared" si="11"/>
        <v>157.1094368966539</v>
      </c>
      <c r="L143">
        <f t="shared" si="12"/>
        <v>135.50307012915468</v>
      </c>
      <c r="M143">
        <v>52.24</v>
      </c>
    </row>
    <row r="144" spans="1:13">
      <c r="A144">
        <f t="shared" si="13"/>
        <v>2024</v>
      </c>
      <c r="B144" t="s">
        <v>24</v>
      </c>
      <c r="C144">
        <f t="shared" si="10"/>
        <v>143</v>
      </c>
      <c r="D144">
        <v>7.7100000000000009</v>
      </c>
      <c r="E144">
        <v>1.66</v>
      </c>
      <c r="F144" s="1">
        <v>149.88879626067029</v>
      </c>
      <c r="G144">
        <v>3.7218220263553121</v>
      </c>
      <c r="H144" s="2">
        <v>4.5</v>
      </c>
      <c r="I144" s="1">
        <v>100.35560184418179</v>
      </c>
      <c r="J144" s="3">
        <v>102.85154492642121</v>
      </c>
      <c r="K144">
        <f t="shared" si="11"/>
        <v>156.8431310064658</v>
      </c>
      <c r="L144">
        <f t="shared" si="12"/>
        <v>135.4296660507926</v>
      </c>
      <c r="M144">
        <v>51.85</v>
      </c>
    </row>
    <row r="145" spans="1:13">
      <c r="A145">
        <f t="shared" si="13"/>
        <v>2024</v>
      </c>
      <c r="B145" t="s">
        <v>25</v>
      </c>
      <c r="C145">
        <f t="shared" si="10"/>
        <v>144</v>
      </c>
      <c r="D145">
        <v>7.7028099999999995</v>
      </c>
      <c r="E145">
        <v>1.7</v>
      </c>
      <c r="F145" s="1">
        <v>153.68729794002667</v>
      </c>
      <c r="G145">
        <v>3.0216156833542556</v>
      </c>
      <c r="H145" s="2">
        <v>4.5</v>
      </c>
      <c r="I145" s="1">
        <v>100.51354067381401</v>
      </c>
      <c r="J145" s="3">
        <v>102.88805721998006</v>
      </c>
      <c r="K145">
        <f t="shared" si="11"/>
        <v>157.08996944987902</v>
      </c>
      <c r="L145">
        <f t="shared" si="12"/>
        <v>135.4777435758017</v>
      </c>
      <c r="M145">
        <v>51.63</v>
      </c>
    </row>
    <row r="146" spans="1:13">
      <c r="A146">
        <f t="shared" si="13"/>
        <v>2025</v>
      </c>
      <c r="B146" t="s">
        <v>0</v>
      </c>
      <c r="C146">
        <f t="shared" si="10"/>
        <v>145</v>
      </c>
      <c r="D146">
        <v>7.7188300000000005</v>
      </c>
      <c r="E146">
        <v>2.19</v>
      </c>
      <c r="F146" s="1">
        <v>150.21423129113518</v>
      </c>
      <c r="G146">
        <v>3.8220487065951545</v>
      </c>
      <c r="H146" s="2">
        <v>4.5</v>
      </c>
      <c r="I146" s="1">
        <v>101.017579223309</v>
      </c>
      <c r="J146" s="3">
        <v>103.56157863509223</v>
      </c>
      <c r="K146">
        <f t="shared" si="11"/>
        <v>157.87771804385881</v>
      </c>
      <c r="L146">
        <f t="shared" si="12"/>
        <v>136.3646022067727</v>
      </c>
      <c r="M146">
        <v>52.06</v>
      </c>
    </row>
    <row r="147" spans="1:13">
      <c r="A147">
        <f t="shared" si="13"/>
        <v>2025</v>
      </c>
      <c r="B147" t="s">
        <v>15</v>
      </c>
      <c r="C147">
        <f t="shared" si="10"/>
        <v>146</v>
      </c>
      <c r="D147">
        <v>7.7124500000000005</v>
      </c>
      <c r="E147">
        <v>1.79</v>
      </c>
      <c r="F147" s="1">
        <v>149.6997972207073</v>
      </c>
      <c r="G147">
        <v>3.6012631133693844</v>
      </c>
      <c r="H147" s="2">
        <v>4.5</v>
      </c>
      <c r="I147" s="1">
        <v>100.77</v>
      </c>
      <c r="J147" s="3">
        <v>104.02156833340941</v>
      </c>
      <c r="K147">
        <f t="shared" si="11"/>
        <v>157.49078298649923</v>
      </c>
      <c r="L147">
        <f t="shared" si="12"/>
        <v>136.97029316916385</v>
      </c>
      <c r="M147">
        <v>52.43</v>
      </c>
    </row>
    <row r="148" spans="1:13">
      <c r="A148">
        <f t="shared" si="13"/>
        <v>2025</v>
      </c>
      <c r="B148" t="s">
        <v>16</v>
      </c>
      <c r="C148">
        <f t="shared" si="10"/>
        <v>147</v>
      </c>
      <c r="D148">
        <v>7.7059199999999999</v>
      </c>
      <c r="E148">
        <v>1.57</v>
      </c>
      <c r="F148" s="1">
        <v>154.32525933609071</v>
      </c>
      <c r="G148">
        <v>4.429391461025304</v>
      </c>
      <c r="H148" s="2">
        <v>4.5</v>
      </c>
      <c r="I148" s="1">
        <v>100.86</v>
      </c>
      <c r="J148" s="3">
        <v>104.25531221271019</v>
      </c>
      <c r="K148">
        <f t="shared" si="11"/>
        <v>157.63144161971135</v>
      </c>
      <c r="L148">
        <f t="shared" si="12"/>
        <v>137.27807518194516</v>
      </c>
      <c r="M148">
        <v>52.69</v>
      </c>
    </row>
    <row r="149" spans="1:13">
      <c r="A149">
        <f t="shared" si="13"/>
        <v>2025</v>
      </c>
      <c r="B149" t="s">
        <v>17</v>
      </c>
      <c r="C149">
        <f t="shared" si="10"/>
        <v>148</v>
      </c>
      <c r="D149">
        <v>7.7020749999999998</v>
      </c>
      <c r="E149">
        <v>1.47</v>
      </c>
      <c r="F149" s="1">
        <v>152.20194091361139</v>
      </c>
      <c r="G149">
        <v>3.9954915128858062</v>
      </c>
      <c r="H149" s="2">
        <v>4.5</v>
      </c>
      <c r="I149" s="1">
        <v>101.06</v>
      </c>
      <c r="J149" s="3">
        <v>104.58001082328703</v>
      </c>
      <c r="K149">
        <f t="shared" si="11"/>
        <v>157.94401636018273</v>
      </c>
      <c r="L149">
        <f t="shared" si="12"/>
        <v>137.70562174363303</v>
      </c>
      <c r="M149">
        <v>52.74</v>
      </c>
    </row>
    <row r="150" spans="1:13">
      <c r="A150">
        <f t="shared" si="13"/>
        <v>2025</v>
      </c>
      <c r="B150" t="s">
        <v>18</v>
      </c>
      <c r="C150">
        <f t="shared" si="10"/>
        <v>149</v>
      </c>
      <c r="D150">
        <v>7.6748399999999997</v>
      </c>
      <c r="E150">
        <v>1.69</v>
      </c>
      <c r="F150" s="1">
        <v>153.93500602797931</v>
      </c>
      <c r="G150">
        <v>4.0929520237190644</v>
      </c>
      <c r="H150" s="2">
        <v>4.5</v>
      </c>
      <c r="I150" s="1">
        <v>101.31</v>
      </c>
      <c r="J150" s="3">
        <v>104.79843257939794</v>
      </c>
      <c r="K150">
        <f t="shared" si="11"/>
        <v>158.33473478577193</v>
      </c>
      <c r="L150">
        <f t="shared" si="12"/>
        <v>137.99322836645518</v>
      </c>
      <c r="M150">
        <v>52.84</v>
      </c>
    </row>
    <row r="151" spans="1:13">
      <c r="A151">
        <f t="shared" si="13"/>
        <v>2025</v>
      </c>
      <c r="B151" t="s">
        <v>19</v>
      </c>
      <c r="C151">
        <f t="shared" si="10"/>
        <v>150</v>
      </c>
      <c r="D151">
        <v>7.6838250000000006</v>
      </c>
      <c r="E151">
        <v>1.79</v>
      </c>
      <c r="F151" s="1">
        <v>148.1345916359642</v>
      </c>
      <c r="G151">
        <v>3.5729226672914933</v>
      </c>
      <c r="H151" s="2">
        <v>4.5</v>
      </c>
      <c r="I151" s="1">
        <v>101.56</v>
      </c>
      <c r="J151" s="3">
        <v>105.15573145208087</v>
      </c>
      <c r="K151">
        <f t="shared" si="11"/>
        <v>158.72545321136116</v>
      </c>
      <c r="L151">
        <f t="shared" si="12"/>
        <v>138.46370128975829</v>
      </c>
      <c r="M151">
        <v>53.14</v>
      </c>
    </row>
    <row r="152" spans="1:13">
      <c r="A152">
        <f t="shared" si="13"/>
        <v>2025</v>
      </c>
      <c r="B152" t="s">
        <v>20</v>
      </c>
      <c r="C152">
        <f t="shared" si="10"/>
        <v>151</v>
      </c>
      <c r="D152">
        <v>7.6738350000000004</v>
      </c>
      <c r="E152">
        <v>1.17</v>
      </c>
      <c r="F152" s="1">
        <v>152.54364676412703</v>
      </c>
      <c r="G152">
        <v>4.2075132030203264</v>
      </c>
      <c r="H152" s="2">
        <v>4.5</v>
      </c>
      <c r="I152" s="1">
        <v>101.81</v>
      </c>
      <c r="J152" s="3">
        <v>105.31449472853762</v>
      </c>
      <c r="K152">
        <f t="shared" si="11"/>
        <v>159.11617163695038</v>
      </c>
      <c r="L152">
        <f t="shared" si="12"/>
        <v>138.67275267082454</v>
      </c>
      <c r="M152">
        <v>53.2</v>
      </c>
    </row>
    <row r="153" spans="1:13">
      <c r="A153">
        <f t="shared" si="13"/>
        <v>2025</v>
      </c>
      <c r="B153" t="s">
        <v>21</v>
      </c>
      <c r="C153">
        <f t="shared" si="10"/>
        <v>152</v>
      </c>
      <c r="D153">
        <v>7.6615350000000007</v>
      </c>
      <c r="E153">
        <v>1.17</v>
      </c>
      <c r="F153" s="1">
        <v>151.26954224667955</v>
      </c>
      <c r="G153">
        <v>3.4249597351453787</v>
      </c>
      <c r="H153" s="2">
        <v>4.25</v>
      </c>
      <c r="I153" s="1">
        <v>101.75</v>
      </c>
      <c r="J153" s="3">
        <v>105.61702516088229</v>
      </c>
      <c r="K153">
        <f t="shared" si="11"/>
        <v>159.02239921480896</v>
      </c>
      <c r="L153">
        <f t="shared" si="12"/>
        <v>139.07110930661403</v>
      </c>
      <c r="M153">
        <v>53.15</v>
      </c>
    </row>
    <row r="154" spans="1:13">
      <c r="A154">
        <f t="shared" si="13"/>
        <v>2025</v>
      </c>
      <c r="B154" t="s">
        <v>22</v>
      </c>
      <c r="C154">
        <f t="shared" si="10"/>
        <v>153</v>
      </c>
      <c r="D154">
        <v>7.6573549999999999</v>
      </c>
      <c r="E154">
        <v>1.47</v>
      </c>
      <c r="F154" s="1">
        <v>150.81554420983201</v>
      </c>
      <c r="G154">
        <v>4.5180150391356193</v>
      </c>
      <c r="H154" s="2">
        <v>4</v>
      </c>
      <c r="I154" s="1">
        <v>101.67</v>
      </c>
      <c r="J154" s="3">
        <v>105.63916560688769</v>
      </c>
      <c r="K154">
        <f t="shared" si="11"/>
        <v>158.89736931862041</v>
      </c>
      <c r="L154">
        <f t="shared" si="12"/>
        <v>139.10026271613134</v>
      </c>
    </row>
    <row r="155" spans="1:13">
      <c r="A155">
        <f t="shared" si="13"/>
        <v>2025</v>
      </c>
      <c r="B155" t="s">
        <v>23</v>
      </c>
      <c r="C155">
        <f t="shared" si="10"/>
        <v>154</v>
      </c>
      <c r="D155">
        <v>7.6573549999999999</v>
      </c>
      <c r="E155">
        <v>1.26</v>
      </c>
      <c r="H155" s="2">
        <v>4</v>
      </c>
      <c r="I155" s="1">
        <v>101.79</v>
      </c>
      <c r="J155" s="3"/>
    </row>
    <row r="156" spans="1:13">
      <c r="H156" s="2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Garrido Grijalva, Paulo Augusto</dc:creator>
  <cp:lastModifiedBy>Alexander Molina</cp:lastModifiedBy>
  <dcterms:created xsi:type="dcterms:W3CDTF">2025-12-02T23:32:43Z</dcterms:created>
  <dcterms:modified xsi:type="dcterms:W3CDTF">2025-12-04T18:05:22Z</dcterms:modified>
</cp:coreProperties>
</file>